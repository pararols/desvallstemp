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\Desvalls Cultura\"/>
    </mc:Choice>
  </mc:AlternateContent>
  <xr:revisionPtr revIDLastSave="0" documentId="13_ncr:1_{21A9D48F-464A-4952-B60A-C08BA64F0A57}" xr6:coauthVersionLast="47" xr6:coauthVersionMax="47" xr10:uidLastSave="{00000000-0000-0000-0000-000000000000}"/>
  <bookViews>
    <workbookView xWindow="-120" yWindow="-120" windowWidth="29040" windowHeight="15720" xr2:uid="{33C069EC-9502-4EAF-8E0D-D3429F855E0F}"/>
  </bookViews>
  <sheets>
    <sheet name="logistica_participants" sheetId="1" r:id="rId1"/>
    <sheet name="Ful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7" i="1" l="1"/>
  <c r="W17" i="1" s="1"/>
  <c r="W16" i="1"/>
  <c r="V16" i="1"/>
  <c r="V15" i="1"/>
  <c r="W15" i="1" s="1"/>
  <c r="S17" i="1"/>
  <c r="T17" i="1" s="1"/>
  <c r="S16" i="1"/>
  <c r="T16" i="1" s="1"/>
  <c r="S15" i="1"/>
  <c r="T15" i="1" s="1"/>
  <c r="V14" i="1"/>
  <c r="W14" i="1" s="1"/>
  <c r="S14" i="1"/>
  <c r="T14" i="1" s="1"/>
  <c r="V13" i="1"/>
  <c r="W13" i="1" s="1"/>
  <c r="S13" i="1"/>
  <c r="T13" i="1" s="1"/>
  <c r="V12" i="1"/>
  <c r="W12" i="1" s="1"/>
  <c r="S12" i="1"/>
  <c r="T12" i="1" s="1"/>
  <c r="V11" i="1"/>
  <c r="W11" i="1" s="1"/>
  <c r="S11" i="1"/>
  <c r="T11" i="1" s="1"/>
  <c r="V10" i="1"/>
  <c r="W10" i="1" s="1"/>
  <c r="S10" i="1"/>
  <c r="T10" i="1" s="1"/>
  <c r="V9" i="1"/>
  <c r="W9" i="1" s="1"/>
  <c r="S9" i="1"/>
  <c r="T9" i="1" s="1"/>
  <c r="V8" i="1"/>
  <c r="W8" i="1" s="1"/>
  <c r="S8" i="1"/>
  <c r="T8" i="1" s="1"/>
  <c r="V7" i="1"/>
  <c r="W7" i="1" s="1"/>
  <c r="S7" i="1"/>
  <c r="T7" i="1" s="1"/>
  <c r="V6" i="1"/>
  <c r="W6" i="1" s="1"/>
  <c r="S6" i="1"/>
  <c r="T6" i="1" s="1"/>
  <c r="V5" i="1"/>
  <c r="W5" i="1" s="1"/>
  <c r="S5" i="1"/>
  <c r="T5" i="1" s="1"/>
  <c r="V4" i="1"/>
  <c r="W4" i="1" s="1"/>
  <c r="S4" i="1"/>
  <c r="T4" i="1" s="1"/>
  <c r="V3" i="1"/>
  <c r="W3" i="1" s="1"/>
  <c r="S3" i="1"/>
  <c r="T3" i="1" s="1"/>
  <c r="S18" i="1"/>
  <c r="T18" i="1" s="1"/>
  <c r="V18" i="1"/>
  <c r="W18" i="1" s="1"/>
  <c r="S19" i="1"/>
  <c r="T19" i="1" s="1"/>
  <c r="V19" i="1"/>
  <c r="W19" i="1" s="1"/>
  <c r="S20" i="1"/>
  <c r="T20" i="1" s="1"/>
  <c r="V20" i="1"/>
  <c r="W20" i="1" s="1"/>
  <c r="S21" i="1"/>
  <c r="T21" i="1" s="1"/>
  <c r="V21" i="1"/>
  <c r="W21" i="1" s="1"/>
  <c r="S22" i="1"/>
  <c r="T22" i="1" s="1"/>
  <c r="V22" i="1"/>
  <c r="W22" i="1" s="1"/>
  <c r="S23" i="1"/>
  <c r="T23" i="1" s="1"/>
  <c r="V23" i="1"/>
  <c r="W23" i="1" s="1"/>
  <c r="S24" i="1"/>
  <c r="T24" i="1" s="1"/>
  <c r="V24" i="1"/>
  <c r="W24" i="1" s="1"/>
  <c r="S25" i="1"/>
  <c r="T25" i="1" s="1"/>
  <c r="V25" i="1"/>
  <c r="W25" i="1" s="1"/>
  <c r="S26" i="1"/>
  <c r="T26" i="1" s="1"/>
  <c r="V26" i="1"/>
  <c r="W26" i="1" s="1"/>
  <c r="S27" i="1"/>
  <c r="T27" i="1"/>
  <c r="V27" i="1"/>
  <c r="W27" i="1" s="1"/>
  <c r="S28" i="1"/>
  <c r="T28" i="1" s="1"/>
  <c r="V28" i="1"/>
  <c r="W28" i="1" s="1"/>
  <c r="S29" i="1"/>
  <c r="T29" i="1" s="1"/>
  <c r="V29" i="1"/>
  <c r="W29" i="1" s="1"/>
  <c r="S30" i="1"/>
  <c r="T30" i="1" s="1"/>
  <c r="V30" i="1"/>
  <c r="W30" i="1" s="1"/>
  <c r="S31" i="1"/>
  <c r="T31" i="1" s="1"/>
  <c r="V31" i="1"/>
  <c r="W31" i="1" s="1"/>
  <c r="S32" i="1"/>
  <c r="T32" i="1" s="1"/>
  <c r="V32" i="1"/>
  <c r="W32" i="1" s="1"/>
  <c r="S33" i="1"/>
  <c r="T33" i="1" s="1"/>
  <c r="V33" i="1"/>
  <c r="W33" i="1" s="1"/>
  <c r="S34" i="1"/>
  <c r="T34" i="1" s="1"/>
  <c r="V34" i="1"/>
  <c r="W34" i="1" s="1"/>
  <c r="V53" i="2"/>
  <c r="W53" i="2" s="1"/>
  <c r="S53" i="2"/>
  <c r="T53" i="2" s="1"/>
  <c r="V52" i="2"/>
  <c r="W52" i="2" s="1"/>
  <c r="S52" i="2"/>
  <c r="T52" i="2" s="1"/>
  <c r="V51" i="2"/>
  <c r="W51" i="2" s="1"/>
  <c r="S51" i="2"/>
  <c r="T51" i="2" s="1"/>
  <c r="V48" i="2"/>
  <c r="W48" i="2" s="1"/>
  <c r="S48" i="2"/>
  <c r="T48" i="2" s="1"/>
  <c r="V49" i="2"/>
  <c r="W49" i="2" s="1"/>
  <c r="S49" i="2"/>
  <c r="T49" i="2" s="1"/>
  <c r="V50" i="2"/>
  <c r="W50" i="2" s="1"/>
  <c r="S50" i="2"/>
  <c r="T50" i="2" s="1"/>
  <c r="V47" i="1"/>
  <c r="W47" i="1" s="1"/>
  <c r="V46" i="1"/>
  <c r="W46" i="1" s="1"/>
  <c r="V45" i="1"/>
  <c r="W45" i="1" s="1"/>
  <c r="V44" i="1"/>
  <c r="W44" i="1" s="1"/>
  <c r="V38" i="1"/>
  <c r="W38" i="1" s="1"/>
  <c r="V43" i="1"/>
  <c r="W43" i="1" s="1"/>
  <c r="V42" i="1"/>
  <c r="W42" i="1" s="1"/>
  <c r="V41" i="1"/>
  <c r="W41" i="1" s="1"/>
  <c r="V40" i="1"/>
  <c r="W40" i="1" s="1"/>
  <c r="V39" i="1"/>
  <c r="W39" i="1" s="1"/>
  <c r="S47" i="1"/>
  <c r="T47" i="1" s="1"/>
  <c r="S46" i="1"/>
  <c r="T46" i="1" s="1"/>
  <c r="S45" i="1"/>
  <c r="T45" i="1" s="1"/>
  <c r="S44" i="1"/>
  <c r="T44" i="1" s="1"/>
  <c r="S38" i="1"/>
  <c r="T38" i="1" s="1"/>
  <c r="S43" i="1"/>
  <c r="T43" i="1" s="1"/>
  <c r="S42" i="1"/>
  <c r="T42" i="1" s="1"/>
  <c r="S41" i="1"/>
  <c r="T41" i="1" s="1"/>
  <c r="S40" i="1"/>
  <c r="T40" i="1" s="1"/>
  <c r="S39" i="1"/>
  <c r="T39" i="1" s="1"/>
  <c r="V35" i="1" l="1"/>
  <c r="S35" i="1"/>
  <c r="T35" i="1"/>
  <c r="W35" i="1"/>
  <c r="S36" i="1" l="1"/>
  <c r="V36" i="1"/>
</calcChain>
</file>

<file path=xl/sharedStrings.xml><?xml version="1.0" encoding="utf-8"?>
<sst xmlns="http://schemas.openxmlformats.org/spreadsheetml/2006/main" count="416" uniqueCount="209">
  <si>
    <t>Categoria</t>
  </si>
  <si>
    <t>Nom</t>
  </si>
  <si>
    <t>DNI</t>
  </si>
  <si>
    <t>Email</t>
  </si>
  <si>
    <t>Telèfon</t>
  </si>
  <si>
    <t>Municipi</t>
  </si>
  <si>
    <t>Distància (km)</t>
  </si>
  <si>
    <t>Ruta Google Maps</t>
  </si>
  <si>
    <t>Arts Vives</t>
  </si>
  <si>
    <t>Aleix</t>
  </si>
  <si>
    <t>41645308J</t>
  </si>
  <si>
    <t>agazquezverdaguer@gmail.com</t>
  </si>
  <si>
    <t>Quart</t>
  </si>
  <si>
    <t>https://www.google.com/maps/dir/?api=1&amp;origin=Sant+Jordi+Desvalls&amp;destination=Quart</t>
  </si>
  <si>
    <t>QUIM CASTELLA TURON</t>
  </si>
  <si>
    <t>387850067Z</t>
  </si>
  <si>
    <t>pamboliteatre@gmail.com</t>
  </si>
  <si>
    <t>MATARO</t>
  </si>
  <si>
    <t>https://www.google.com/maps/dir/?api=1&amp;origin=Sant+Jordi+Desvalls&amp;destination=MATARO</t>
  </si>
  <si>
    <t>Jose Miguel Martins Semedo</t>
  </si>
  <si>
    <t>X8561939M</t>
  </si>
  <si>
    <t>clownonpopping@gmail.com</t>
  </si>
  <si>
    <t>La Bisbal d'Empordà</t>
  </si>
  <si>
    <t>https://www.google.com/maps/dir/?api=1&amp;origin=Sant+Jordi+Desvalls&amp;destination=La%20Bisbal%20d%27Empord%C3%A0</t>
  </si>
  <si>
    <t>Santi Cos Giner</t>
  </si>
  <si>
    <t>38846985A</t>
  </si>
  <si>
    <t>barretsgarden@gmail.com</t>
  </si>
  <si>
    <t>Cervià de Ter</t>
  </si>
  <si>
    <t>https://www.google.com/maps/dir/?api=1&amp;origin=Sant+Jordi+Desvalls&amp;destination=Cervi%C3%A0%20de%20Ter</t>
  </si>
  <si>
    <t>Laura Almiñana</t>
  </si>
  <si>
    <t>21774253S</t>
  </si>
  <si>
    <t>duobelarc@gmail.com</t>
  </si>
  <si>
    <t>Barcelona</t>
  </si>
  <si>
    <t>https://www.google.com/maps/dir/?api=1&amp;origin=Sant+Jordi+Desvalls&amp;destination=Barcelona</t>
  </si>
  <si>
    <t>Jose Manuel Panzano Sancho</t>
  </si>
  <si>
    <t>46624948s</t>
  </si>
  <si>
    <t>jose.panzano@gmail.com</t>
  </si>
  <si>
    <t>Sant Cugat del Vallès</t>
  </si>
  <si>
    <t>https://www.google.com/maps/dir/?api=1&amp;origin=Sant+Jordi+Desvalls&amp;destination=Sant%20Cugat%20del%20Vall%C3%A8s</t>
  </si>
  <si>
    <t>Marta Ribas</t>
  </si>
  <si>
    <t>43674067B</t>
  </si>
  <si>
    <t>martademarte@martademarte.com</t>
  </si>
  <si>
    <t>Blanes -Girona</t>
  </si>
  <si>
    <t>https://www.google.com/maps/dir/?api=1&amp;origin=Sant+Jordi+Desvalls&amp;destination=Blanes%20-Girona</t>
  </si>
  <si>
    <t>Laura Netz</t>
  </si>
  <si>
    <t>46973248a</t>
  </si>
  <si>
    <t>laura@netzzz.net</t>
  </si>
  <si>
    <t>Colera</t>
  </si>
  <si>
    <t>https://www.google.com/maps/dir/?api=1&amp;origin=Sant+Jordi+Desvalls&amp;destination=Colera</t>
  </si>
  <si>
    <t>Montse</t>
  </si>
  <si>
    <t>G01852649</t>
  </si>
  <si>
    <t>kateatre@gmail.com</t>
  </si>
  <si>
    <t>Vilanova del Camí</t>
  </si>
  <si>
    <t>https://www.google.com/maps/dir/?api=1&amp;origin=Sant+Jordi+Desvalls&amp;destination=Vilanova%20del%20Cam%C3%AD</t>
  </si>
  <si>
    <t>Gaia Magrané</t>
  </si>
  <si>
    <t>41562548F</t>
  </si>
  <si>
    <t>ambar.gmg.gmg@gmail.com</t>
  </si>
  <si>
    <t>Sant Jordi Desvalls</t>
  </si>
  <si>
    <t>https://www.google.com/maps/dir/?api=1&amp;origin=Sant+Jordi+Desvalls&amp;destination=Sant%20Jordi%20Desvalls</t>
  </si>
  <si>
    <t>Pilar</t>
  </si>
  <si>
    <t>38101606j</t>
  </si>
  <si>
    <t>itakaalquimiaherbal@gmail.com</t>
  </si>
  <si>
    <t>Calonge i Sant antoni</t>
  </si>
  <si>
    <t>https://www.google.com/maps/dir/?api=1&amp;origin=Sant+Jordi+Desvalls&amp;destination=Calonge%20i%20Sant%20antoni</t>
  </si>
  <si>
    <t>LAURA CATALAN GARCIA</t>
  </si>
  <si>
    <t>77990396H</t>
  </si>
  <si>
    <t>trespelspels@gmail.com</t>
  </si>
  <si>
    <t>GIRONA</t>
  </si>
  <si>
    <t>https://www.google.com/maps/dir/?api=1&amp;origin=Sant+Jordi+Desvalls&amp;destination=GIRONA</t>
  </si>
  <si>
    <t>Pau</t>
  </si>
  <si>
    <t>77919808V</t>
  </si>
  <si>
    <t>pauzabala_4@hotmail.com</t>
  </si>
  <si>
    <t>Figueres</t>
  </si>
  <si>
    <t>https://www.google.com/maps/dir/?api=1&amp;origin=Sant+Jordi+Desvalls&amp;destination=Figueres</t>
  </si>
  <si>
    <t>oriol serra pages</t>
  </si>
  <si>
    <t>41579652E</t>
  </si>
  <si>
    <t>oriolserrapages@gmail.com</t>
  </si>
  <si>
    <t>SANT JORDI DESVALLS</t>
  </si>
  <si>
    <t>https://www.google.com/maps/dir/?api=1&amp;origin=Sant+Jordi+Desvalls&amp;destination=SANT%20JORDI%20DESVALLS</t>
  </si>
  <si>
    <t>Hélène Hüsler</t>
  </si>
  <si>
    <t>Y9206219T</t>
  </si>
  <si>
    <t>cia.cabracadabra@gmail.com</t>
  </si>
  <si>
    <t>Arts Plàstiques</t>
  </si>
  <si>
    <t>Dolores Durán</t>
  </si>
  <si>
    <t>40280368p</t>
  </si>
  <si>
    <t>dduranarcas@gmail.com</t>
  </si>
  <si>
    <t>Girona capital</t>
  </si>
  <si>
    <t>https://www.google.com/maps/dir/?api=1&amp;origin=Sant+Jordi+Desvalls&amp;destination=Girona</t>
  </si>
  <si>
    <t>Àngel Martínez</t>
  </si>
  <si>
    <t>79280026S</t>
  </si>
  <si>
    <t>angel@angelmartinez.cat</t>
  </si>
  <si>
    <t>Subirats</t>
  </si>
  <si>
    <t>https://www.google.com/maps/dir/?api=1&amp;origin=Sant+Jordi+Desvalls&amp;destination=Subirats</t>
  </si>
  <si>
    <t>Rosa Aguiló</t>
  </si>
  <si>
    <t>40516907S</t>
  </si>
  <si>
    <t>rosaaguilo5@gmail.com</t>
  </si>
  <si>
    <t>Palafrugell</t>
  </si>
  <si>
    <t>https://www.google.com/maps/dir/?api=1&amp;origin=Sant+Jordi+Desvalls&amp;destination=Palafrugell</t>
  </si>
  <si>
    <t>Olga Miró</t>
  </si>
  <si>
    <t>Antonio Majuelos</t>
  </si>
  <si>
    <t>36935877Q</t>
  </si>
  <si>
    <t>amajols@gmail.com</t>
  </si>
  <si>
    <t>Girona</t>
  </si>
  <si>
    <t>LARA GOMBAU CANO</t>
  </si>
  <si>
    <t>47827514A</t>
  </si>
  <si>
    <t>laragombau@gmail.com</t>
  </si>
  <si>
    <t>BARCELONA</t>
  </si>
  <si>
    <t>https://www.google.com/maps/dir/?api=1&amp;origin=Sant+Jordi+Desvalls&amp;destination=BARCELONA</t>
  </si>
  <si>
    <t>Francesc Oliveras i Ballús</t>
  </si>
  <si>
    <t>35119814X</t>
  </si>
  <si>
    <t>foorfebre@gmail.com</t>
  </si>
  <si>
    <t>El Bruc</t>
  </si>
  <si>
    <t>https://www.google.com/maps/dir/?api=1&amp;origin=Sant+Jordi+Desvalls&amp;destination=El%20Bruc</t>
  </si>
  <si>
    <t>cristina Perez</t>
  </si>
  <si>
    <t>45462779j</t>
  </si>
  <si>
    <t>CRISTINAPEREZALAY@GMAIL.COM</t>
  </si>
  <si>
    <t>Terrassa</t>
  </si>
  <si>
    <t>https://www.google.com/maps/dir/?api=1&amp;origin=Sant+Jordi+Desvalls&amp;destination=Terrassa</t>
  </si>
  <si>
    <t>Majo Menéndez</t>
  </si>
  <si>
    <t>X4590489B</t>
  </si>
  <si>
    <t>majomenendez.art@gmail.com</t>
  </si>
  <si>
    <t>Salt</t>
  </si>
  <si>
    <t>https://www.google.com/maps/dir/?api=1&amp;origin=Sant+Jordi+Desvalls&amp;destination=Salt</t>
  </si>
  <si>
    <t>Paz Muntadas</t>
  </si>
  <si>
    <t>45883197Z</t>
  </si>
  <si>
    <t>muntadaaspaz@gmail.com</t>
  </si>
  <si>
    <t>Consol Riera</t>
  </si>
  <si>
    <t>46317357B</t>
  </si>
  <si>
    <t>riera.consol@gmail.com</t>
  </si>
  <si>
    <t>Consol Riera Aranda</t>
  </si>
  <si>
    <t>36898808T</t>
  </si>
  <si>
    <t>tresfarro@hotmail.com</t>
  </si>
  <si>
    <t>Sant Just Desvern</t>
  </si>
  <si>
    <t>https://www.google.com/maps/dir/?api=1&amp;origin=Sant+Jordi+Desvalls&amp;destination=Sant%20Just%20Desvern</t>
  </si>
  <si>
    <t>ELISENDA SERRADELL</t>
  </si>
  <si>
    <t>38110229B</t>
  </si>
  <si>
    <t>eliserradell@hotmail.com</t>
  </si>
  <si>
    <t>BADALONA</t>
  </si>
  <si>
    <t>https://www.google.com/maps/dir/?api=1&amp;origin=Sant+Jordi+Desvalls&amp;destination=BADALONA</t>
  </si>
  <si>
    <t>Júlia</t>
  </si>
  <si>
    <t>77633127P</t>
  </si>
  <si>
    <t>juliapbiel@gmail.com</t>
  </si>
  <si>
    <t>Cervià de ter</t>
  </si>
  <si>
    <t>https://www.google.com/maps/dir/?api=1&amp;origin=Sant+Jordi+Desvalls&amp;destination=Cervi%C3%A0%20de%20ter</t>
  </si>
  <si>
    <t>km</t>
  </si>
  <si>
    <t>limit</t>
  </si>
  <si>
    <t>km a pagar</t>
  </si>
  <si>
    <t>total km</t>
  </si>
  <si>
    <t>eur a pagar</t>
  </si>
  <si>
    <t>total euros</t>
  </si>
  <si>
    <t>Cesc Oliveras</t>
  </si>
  <si>
    <t>ESCOLA DE DIBUIX I PINTURA DE CELRA</t>
  </si>
  <si>
    <t>M TERESSA FERRO LEON</t>
  </si>
  <si>
    <t>CONRAD - CAN SOLA</t>
  </si>
  <si>
    <t>EMILI BIARNES</t>
  </si>
  <si>
    <t>MONTSE PLANAS</t>
  </si>
  <si>
    <t>Lourdes Doñate Blanch</t>
  </si>
  <si>
    <t>TELF DEL CESC -630920519</t>
  </si>
  <si>
    <t>17200 Palafrugell</t>
  </si>
  <si>
    <t>FONTS, LES (TERRASSA)</t>
  </si>
  <si>
    <t>Carrer Escoles 16, Sant Martí de Tous 08712</t>
  </si>
  <si>
    <t>cristinaperezalay@gmail.com</t>
  </si>
  <si>
    <t>lourdesdb73@gmail.com</t>
  </si>
  <si>
    <t>Dolores Duran</t>
  </si>
  <si>
    <t>Àngel Martinez</t>
  </si>
  <si>
    <t>Conrad</t>
  </si>
  <si>
    <t>Emili Biarnès</t>
  </si>
  <si>
    <t>Teresa Ferro</t>
  </si>
  <si>
    <t>Angela Batlle</t>
  </si>
  <si>
    <t>Daniel Ministral</t>
  </si>
  <si>
    <t>Emilia Serradell</t>
  </si>
  <si>
    <t>Escola de Celrà.</t>
  </si>
  <si>
    <t>Cristina Perez</t>
  </si>
  <si>
    <t>Rosa Aguilò.</t>
  </si>
  <si>
    <t>Montse Planas.</t>
  </si>
  <si>
    <t>Majo Menendez</t>
  </si>
  <si>
    <t>Paz Muntades</t>
  </si>
  <si>
    <t>Lourdes Doñate</t>
  </si>
  <si>
    <t>Cesc Oliveras.</t>
  </si>
  <si>
    <t>Celrà</t>
  </si>
  <si>
    <t>idem</t>
  </si>
  <si>
    <t>Porcellana Olga Miró</t>
  </si>
  <si>
    <t>ARAL</t>
  </si>
  <si>
    <t>JO TACO</t>
  </si>
  <si>
    <t>La Pròxima</t>
  </si>
  <si>
    <t>Els Braves</t>
  </si>
  <si>
    <t>Djammal</t>
  </si>
  <si>
    <t>Barret's Garden</t>
  </si>
  <si>
    <t>Duo Belarc</t>
  </si>
  <si>
    <t>Rumbesia</t>
  </si>
  <si>
    <t>Martademarte &amp; Cia</t>
  </si>
  <si>
    <t>OMMATIDIA</t>
  </si>
  <si>
    <t>KA TEATRE</t>
  </si>
  <si>
    <t>La Pulposa</t>
  </si>
  <si>
    <t>El Viatge de les Remeires</t>
  </si>
  <si>
    <t>TRES PELS PÈLS TEATRE</t>
  </si>
  <si>
    <t>Pau Zabala Padró</t>
  </si>
  <si>
    <t>cia. cabra cadabra</t>
  </si>
  <si>
    <t>Companyia</t>
  </si>
  <si>
    <t>https://www.google.com/maps/place/Les+Fonts,+Barcelona/@41.5264038,2.0276974,1627m/data=!3m2!1e3!4b1!4m6!3m5!1s0x12a493b5d6696e63:0x7d322b6f1de8cac4!8m2!3d41.5270948!4d2.0334418!16s%2Fm%2F0wr971n?entry=ttu&amp;g_ep=EgoyMDI2MDgwOS4wIKXMDSoASAFQAw%3D%3D</t>
  </si>
  <si>
    <t>https://www.google.com/maps/dir/Carrer+del+Doctor+Joher,+15,+17464+Sant+Jordi+Desvalls,+Girona,+Espanya/Badalona,+Barcelona/@41.7473593,2.2361582,103790m/data=!3m2!1e3!4b1!4m14!4m13!1m5!1m1!1s0x12baf039b9d4a5ad:0x48b79493cf6710a2!2m2!1d2.9544194!2d42.068553!1m5!1m1!1s0x12a4bb1298efb741:0x987b0abc3e6ea84d!2m2!1d2.2456681!2d41.4493052!3e0?entry=ttu&amp;g_ep=EgoyMDI2MDgwOS4wIKXMDSoASAFQAw%3D%3D</t>
  </si>
  <si>
    <t>https://www.google.com/maps/dir/Carrer+del+Doctor+Joher,+15,+17464+Sant+Jordi+Desvalls,+Girona,+Espanya/Celr%C3%A0,+17460,+Girona/@42.0459051,2.8639467,12913m/data=!3m2!1e3!4b1!4m14!4m13!1m5!1m1!1s0x12baf039b9d4a5ad:0x48b79493cf6710a2!2m2!1d2.9544194!2d42.068553!1m5!1m1!1s0x12bae5939ef92a9d:0x953ccabfb5d6ba90!2m2!1d2.8764481!2d42.0282649!3e0?entry=ttu&amp;g_ep=EgoyMDI2MDgwOS4wIKXMDSoASAFQAw%3D%3D</t>
  </si>
  <si>
    <t>https://www.google.com/maps/dir/Carrer+del+Doctor+Joher,+15,+17464+Sant+Jordi+Desvalls,+Girona,+Espanya/Palafrugell,+17200,+Girona/@42.0018977,2.9752539,25844m/data=!3m2!1e3!4b1!4m14!4m13!1m5!1m1!1s0x12baf039b9d4a5ad:0x48b79493cf6710a2!2m2!1d2.9544194!2d42.068553!1m5!1m1!1s0x12ba5461952cfa7f:0x1e4e67cece32a232!2m2!1d3.1624042!2d41.918304!3e0?entry=ttu&amp;g_ep=EgoyMDI2MDgwOS4wIKXMDSoASAFQAw%3D%3D</t>
  </si>
  <si>
    <t>https://www.google.com/maps/dir/Carrer+del+Doctor+Joher,+15,+17464+Sant+Jordi+Desvalls,+Girona,+Espanya/Cervi%C3%A0+de+Ter,+17464,+Girona/@42.0685496,2.9216658,3227m/data=!3m2!1e3!4b1!4m14!4m13!1m5!1m1!1s0x12baf039b9d4a5ad:0x48b79493cf6710a2!2m2!1d2.9544194!2d42.068553!1m5!1m1!1s0x12baefbb76eca33d:0xde1eed8a3c9a6685!2m2!1d2.9094816!2d42.0667654!3e0?entry=ttu&amp;g_ep=EgoyMDI2MDgwOS4wIKXMDSoASAFQAw%3D%3D</t>
  </si>
  <si>
    <t>Terapia de riure</t>
  </si>
  <si>
    <t>Lia i Marga</t>
  </si>
  <si>
    <t>Pamboliteatre</t>
  </si>
  <si>
    <t>Albert i Helena</t>
  </si>
  <si>
    <t>DJ PIPA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</si>
</sst>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85200C"/>
      <name val="Arial"/>
      <family val="2"/>
    </font>
    <font>
      <sz val="10"/>
      <color theme="1"/>
      <name val="Arial"/>
      <family val="2"/>
    </font>
    <font>
      <b/>
      <sz val="10"/>
      <color rgb="FF85200C"/>
      <name val="Arial"/>
      <family val="2"/>
    </font>
    <font>
      <sz val="10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6">
    <xf numFmtId="0" fontId="0" fillId="0" borderId="0" xfId="0"/>
    <xf numFmtId="0" fontId="18" fillId="0" borderId="0" xfId="43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44" fontId="0" fillId="0" borderId="10" xfId="1" applyFont="1" applyBorder="1"/>
    <xf numFmtId="0" fontId="0" fillId="0" borderId="11" xfId="0" applyBorder="1"/>
    <xf numFmtId="44" fontId="16" fillId="0" borderId="10" xfId="1" applyFont="1" applyBorder="1"/>
    <xf numFmtId="0" fontId="19" fillId="0" borderId="12" xfId="0" applyFont="1" applyBorder="1" applyAlignment="1">
      <alignment wrapText="1"/>
    </xf>
    <xf numFmtId="0" fontId="20" fillId="0" borderId="0" xfId="0" applyFont="1"/>
    <xf numFmtId="0" fontId="20" fillId="0" borderId="12" xfId="0" applyFont="1" applyBorder="1" applyAlignment="1">
      <alignment wrapText="1"/>
    </xf>
    <xf numFmtId="0" fontId="0" fillId="33" borderId="0" xfId="0" applyFill="1"/>
    <xf numFmtId="0" fontId="0" fillId="33" borderId="10" xfId="0" applyFill="1" applyBorder="1"/>
    <xf numFmtId="0" fontId="0" fillId="34" borderId="0" xfId="0" applyFill="1"/>
    <xf numFmtId="0" fontId="14" fillId="33" borderId="0" xfId="0" applyFont="1" applyFill="1"/>
    <xf numFmtId="0" fontId="21" fillId="0" borderId="12" xfId="0" applyFont="1" applyBorder="1" applyAlignment="1">
      <alignment wrapText="1"/>
    </xf>
    <xf numFmtId="0" fontId="20" fillId="33" borderId="0" xfId="0" applyFont="1" applyFill="1"/>
    <xf numFmtId="0" fontId="21" fillId="33" borderId="12" xfId="0" applyFont="1" applyFill="1" applyBorder="1" applyAlignment="1">
      <alignment wrapText="1"/>
    </xf>
    <xf numFmtId="0" fontId="20" fillId="33" borderId="12" xfId="0" applyFont="1" applyFill="1" applyBorder="1" applyAlignment="1">
      <alignment wrapText="1"/>
    </xf>
    <xf numFmtId="0" fontId="0" fillId="34" borderId="10" xfId="0" applyFill="1" applyBorder="1"/>
    <xf numFmtId="0" fontId="14" fillId="0" borderId="10" xfId="0" applyFont="1" applyBorder="1"/>
    <xf numFmtId="0" fontId="14" fillId="34" borderId="10" xfId="0" applyFont="1" applyFill="1" applyBorder="1"/>
    <xf numFmtId="0" fontId="0" fillId="33" borderId="13" xfId="0" applyFill="1" applyBorder="1"/>
    <xf numFmtId="0" fontId="18" fillId="33" borderId="13" xfId="43" applyFill="1" applyBorder="1"/>
    <xf numFmtId="0" fontId="22" fillId="0" borderId="0" xfId="0" applyFont="1"/>
    <xf numFmtId="0" fontId="14" fillId="0" borderId="0" xfId="0" applyFont="1"/>
  </cellXfs>
  <cellStyles count="44">
    <cellStyle name="20% - Èmfasi1" xfId="20" builtinId="30" customBuiltin="1"/>
    <cellStyle name="20% - Èmfasi2" xfId="24" builtinId="34" customBuiltin="1"/>
    <cellStyle name="20% - Èmfasi3" xfId="28" builtinId="38" customBuiltin="1"/>
    <cellStyle name="20% - Èmfasi4" xfId="32" builtinId="42" customBuiltin="1"/>
    <cellStyle name="20% - Èmfasi5" xfId="36" builtinId="46" customBuiltin="1"/>
    <cellStyle name="20% - Èmfasi6" xfId="40" builtinId="50" customBuiltin="1"/>
    <cellStyle name="40% - Èmfasi1" xfId="21" builtinId="31" customBuiltin="1"/>
    <cellStyle name="40% - Èmfasi2" xfId="25" builtinId="35" customBuiltin="1"/>
    <cellStyle name="40% - Èmfasi3" xfId="29" builtinId="39" customBuiltin="1"/>
    <cellStyle name="40% - Èmfasi4" xfId="33" builtinId="43" customBuiltin="1"/>
    <cellStyle name="40% - Èmfasi5" xfId="37" builtinId="47" customBuiltin="1"/>
    <cellStyle name="40% - Èmfasi6" xfId="41" builtinId="51" customBuiltin="1"/>
    <cellStyle name="60% - Èmfasi1" xfId="22" builtinId="32" customBuiltin="1"/>
    <cellStyle name="60% - Èmfasi2" xfId="26" builtinId="36" customBuiltin="1"/>
    <cellStyle name="60% - Èmfasi3" xfId="30" builtinId="40" customBuiltin="1"/>
    <cellStyle name="60% - Èmfasi4" xfId="34" builtinId="44" customBuiltin="1"/>
    <cellStyle name="60% - Èmfasi5" xfId="38" builtinId="48" customBuiltin="1"/>
    <cellStyle name="60% - Èmfasi6" xfId="42" builtinId="52" customBuiltin="1"/>
    <cellStyle name="Bé" xfId="7" builtinId="26" customBuiltin="1"/>
    <cellStyle name="Càlcul" xfId="12" builtinId="22" customBuiltin="1"/>
    <cellStyle name="Cel·la de comprovació" xfId="14" builtinId="23" customBuiltin="1"/>
    <cellStyle name="Cel·la enllaçada" xfId="13" builtinId="24" customBuiltin="1"/>
    <cellStyle name="Èmfasi1" xfId="19" builtinId="29" customBuiltin="1"/>
    <cellStyle name="Èmfasi2" xfId="23" builtinId="33" customBuiltin="1"/>
    <cellStyle name="Èmfasi3" xfId="27" builtinId="37" customBuiltin="1"/>
    <cellStyle name="Èmfasi4" xfId="31" builtinId="41" customBuiltin="1"/>
    <cellStyle name="Èmfasi5" xfId="35" builtinId="45" customBuiltin="1"/>
    <cellStyle name="Èmfasi6" xfId="39" builtinId="49" customBuiltin="1"/>
    <cellStyle name="Enllaç" xfId="43" builtinId="8"/>
    <cellStyle name="Entrada" xfId="10" builtinId="20" customBuiltin="1"/>
    <cellStyle name="Incorrecte" xfId="8" builtinId="27" customBuiltin="1"/>
    <cellStyle name="Moneda" xfId="1" builtinId="4"/>
    <cellStyle name="Neutral" xfId="9" builtinId="28" customBuiltin="1"/>
    <cellStyle name="Normal" xfId="0" builtinId="0"/>
    <cellStyle name="Nota" xfId="16" builtinId="10" customBuiltin="1"/>
    <cellStyle name="Resultat" xfId="11" builtinId="21" customBuiltin="1"/>
    <cellStyle name="Text d'advertiment" xfId="15" builtinId="11" customBuiltin="1"/>
    <cellStyle name="Text explicatiu" xfId="17" builtinId="53" customBuiltin="1"/>
    <cellStyle name="Títol" xfId="2" builtinId="15" customBuiltin="1"/>
    <cellStyle name="Títol 1" xfId="3" builtinId="16" customBuiltin="1"/>
    <cellStyle name="Títol 2" xfId="4" builtinId="17" customBuiltin="1"/>
    <cellStyle name="Títol 3" xfId="5" builtinId="18" customBuiltin="1"/>
    <cellStyle name="Títol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dir/?api=1&amp;origin=Sant+Jordi+Desvalls&amp;destination=Girona" TargetMode="External"/><Relationship Id="rId18" Type="http://schemas.openxmlformats.org/officeDocument/2006/relationships/hyperlink" Target="https://www.google.com/maps/dir/?api=1&amp;origin=Sant+Jordi+Desvalls&amp;destination=Salt" TargetMode="External"/><Relationship Id="rId26" Type="http://schemas.openxmlformats.org/officeDocument/2006/relationships/hyperlink" Target="https://www.google.com/maps/dir/?api=1&amp;origin=Sant+Jordi+Desvalls&amp;destination=BADALONA" TargetMode="External"/><Relationship Id="rId39" Type="http://schemas.openxmlformats.org/officeDocument/2006/relationships/hyperlink" Target="https://www.google.com/maps/dir/?api=1&amp;origin=Sant+Jordi+Desvalls&amp;destination=GIRONA" TargetMode="External"/><Relationship Id="rId21" Type="http://schemas.openxmlformats.org/officeDocument/2006/relationships/hyperlink" Target="https://www.google.com/maps/dir/?api=1&amp;origin=Sant+Jordi+Desvalls&amp;destination=Subirats" TargetMode="External"/><Relationship Id="rId34" Type="http://schemas.openxmlformats.org/officeDocument/2006/relationships/hyperlink" Target="https://www.google.com/maps/dir/?api=1&amp;origin=Sant+Jordi+Desvalls&amp;destination=Cervi%C3%A0%20de%20Ter" TargetMode="External"/><Relationship Id="rId42" Type="http://schemas.openxmlformats.org/officeDocument/2006/relationships/hyperlink" Target="https://www.google.com/maps/dir/?api=1&amp;origin=Sant+Jordi+Desvalls&amp;destination=Barcelona" TargetMode="External"/><Relationship Id="rId7" Type="http://schemas.openxmlformats.org/officeDocument/2006/relationships/hyperlink" Target="https://www.google.com/maps/dir/?api=1&amp;origin=Sant+Jordi+Desvalls&amp;destination=Salt" TargetMode="External"/><Relationship Id="rId2" Type="http://schemas.openxmlformats.org/officeDocument/2006/relationships/hyperlink" Target="https://www.google.com/maps/dir/?api=1&amp;origin=Sant+Jordi+Desvalls&amp;destination=Subirats" TargetMode="External"/><Relationship Id="rId16" Type="http://schemas.openxmlformats.org/officeDocument/2006/relationships/hyperlink" Target="https://www.google.com/maps/dir/?api=1&amp;origin=Sant+Jordi+Desvalls&amp;destination=Girona" TargetMode="External"/><Relationship Id="rId20" Type="http://schemas.openxmlformats.org/officeDocument/2006/relationships/hyperlink" Target="https://www.google.com/maps/dir/?api=1&amp;origin=Sant+Jordi+Desvalls&amp;destination=El%20Bruc" TargetMode="External"/><Relationship Id="rId29" Type="http://schemas.openxmlformats.org/officeDocument/2006/relationships/hyperlink" Target="https://www.google.com/maps/place/Les+Fonts,+Barcelona/@41.5264038,2.0276974,1627m/data=!3m2!1e3!4b1!4m6!3m5!1s0x12a493b5d6696e63:0x7d322b6f1de8cac4!8m2!3d41.5270948!4d2.0334418!16s%2Fm%2F0wr971n?entry=ttu&amp;g_ep=EgoyMDI2MDgwOS4wIKXMDSoASAFQAw%3D%3D" TargetMode="External"/><Relationship Id="rId41" Type="http://schemas.openxmlformats.org/officeDocument/2006/relationships/hyperlink" Target="https://www.google.com/maps/dir/?api=1&amp;origin=Sant+Jordi+Desvalls&amp;destination=SANT%20JORDI%20DESVALLS" TargetMode="External"/><Relationship Id="rId1" Type="http://schemas.openxmlformats.org/officeDocument/2006/relationships/hyperlink" Target="https://www.google.com/maps/dir/?api=1&amp;origin=Sant+Jordi+Desvalls&amp;destination=Girona" TargetMode="External"/><Relationship Id="rId6" Type="http://schemas.openxmlformats.org/officeDocument/2006/relationships/hyperlink" Target="https://www.google.com/maps/dir/?api=1&amp;origin=Sant+Jordi+Desvalls&amp;destination=Salt" TargetMode="External"/><Relationship Id="rId11" Type="http://schemas.openxmlformats.org/officeDocument/2006/relationships/hyperlink" Target="mailto:lourdesdb73@gmail.com" TargetMode="External"/><Relationship Id="rId24" Type="http://schemas.openxmlformats.org/officeDocument/2006/relationships/hyperlink" Target="https://www.google.com/maps/dir/?api=1&amp;origin=Sant+Jordi+Desvalls&amp;destination=Salt" TargetMode="External"/><Relationship Id="rId32" Type="http://schemas.openxmlformats.org/officeDocument/2006/relationships/hyperlink" Target="https://www.google.com/maps/dir/?api=1&amp;origin=Sant+Jordi+Desvalls&amp;destination=MATARO" TargetMode="External"/><Relationship Id="rId37" Type="http://schemas.openxmlformats.org/officeDocument/2006/relationships/hyperlink" Target="https://www.google.com/maps/dir/?api=1&amp;origin=Sant+Jordi+Desvalls&amp;destination=Colera" TargetMode="External"/><Relationship Id="rId40" Type="http://schemas.openxmlformats.org/officeDocument/2006/relationships/hyperlink" Target="https://www.google.com/maps/dir/?api=1&amp;origin=Sant+Jordi+Desvalls&amp;destination=Figueres" TargetMode="External"/><Relationship Id="rId5" Type="http://schemas.openxmlformats.org/officeDocument/2006/relationships/hyperlink" Target="https://www.google.com/maps/dir/?api=1&amp;origin=Sant+Jordi+Desvalls&amp;destination=El%20Bruc" TargetMode="External"/><Relationship Id="rId15" Type="http://schemas.openxmlformats.org/officeDocument/2006/relationships/hyperlink" Target="https://www.google.com/maps/dir/?api=1&amp;origin=Sant+Jordi+Desvalls&amp;destination=Palafrugell" TargetMode="External"/><Relationship Id="rId23" Type="http://schemas.openxmlformats.org/officeDocument/2006/relationships/hyperlink" Target="https://www.google.com/maps/dir/?api=1&amp;origin=Sant+Jordi+Desvalls&amp;destination=Salt" TargetMode="External"/><Relationship Id="rId28" Type="http://schemas.openxmlformats.org/officeDocument/2006/relationships/hyperlink" Target="https://www.google.com/maps/dir/?api=1&amp;origin=Sant+Jordi+Desvalls&amp;destination=Sant%20Just%20Desvern" TargetMode="External"/><Relationship Id="rId36" Type="http://schemas.openxmlformats.org/officeDocument/2006/relationships/hyperlink" Target="https://www.google.com/maps/dir/?api=1&amp;origin=Sant+Jordi+Desvalls&amp;destination=Sant%20Cugat%20del%20Vall%C3%A8s" TargetMode="External"/><Relationship Id="rId10" Type="http://schemas.openxmlformats.org/officeDocument/2006/relationships/hyperlink" Target="https://www.google.com/maps/dir/?api=1&amp;origin=Sant+Jordi+Desvalls&amp;destination=BADALONA" TargetMode="External"/><Relationship Id="rId19" Type="http://schemas.openxmlformats.org/officeDocument/2006/relationships/hyperlink" Target="https://www.google.com/maps/dir/?api=1&amp;origin=Sant+Jordi+Desvalls&amp;destination=Girona" TargetMode="External"/><Relationship Id="rId31" Type="http://schemas.openxmlformats.org/officeDocument/2006/relationships/hyperlink" Target="https://www.google.com/maps/dir/?api=1&amp;origin=Sant+Jordi+Desvalls&amp;destination=Quart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maps/dir/?api=1&amp;origin=Sant+Jordi+Desvalls&amp;destination=Girona" TargetMode="External"/><Relationship Id="rId9" Type="http://schemas.openxmlformats.org/officeDocument/2006/relationships/hyperlink" Target="https://www.google.com/maps/dir/?api=1&amp;origin=Sant+Jordi+Desvalls&amp;destination=Sant%20Just%20Desvern" TargetMode="External"/><Relationship Id="rId14" Type="http://schemas.openxmlformats.org/officeDocument/2006/relationships/hyperlink" Target="https://www.google.com/maps/dir/?api=1&amp;origin=Sant+Jordi+Desvalls&amp;destination=Subirats" TargetMode="External"/><Relationship Id="rId22" Type="http://schemas.openxmlformats.org/officeDocument/2006/relationships/hyperlink" Target="https://www.google.com/maps/dir/?api=1&amp;origin=Sant+Jordi+Desvalls&amp;destination=Girona" TargetMode="External"/><Relationship Id="rId27" Type="http://schemas.openxmlformats.org/officeDocument/2006/relationships/hyperlink" Target="https://www.google.com/maps/dir/?api=1&amp;origin=Sant+Jordi+Desvalls&amp;destination=Sant%20Just%20Desvern" TargetMode="External"/><Relationship Id="rId30" Type="http://schemas.openxmlformats.org/officeDocument/2006/relationships/hyperlink" Target="https://www.google.com/maps/dir/?api=1&amp;origin=Sant+Jordi+Desvalls&amp;destination=Girona" TargetMode="External"/><Relationship Id="rId35" Type="http://schemas.openxmlformats.org/officeDocument/2006/relationships/hyperlink" Target="https://www.google.com/maps/dir/?api=1&amp;origin=Sant+Jordi+Desvalls&amp;destination=Barcelona" TargetMode="External"/><Relationship Id="rId43" Type="http://schemas.openxmlformats.org/officeDocument/2006/relationships/hyperlink" Target="https://www.google.com/maps/dir/?api=1&amp;origin=Sant+Jordi+Desvalls&amp;destination=Barcelona" TargetMode="External"/><Relationship Id="rId8" Type="http://schemas.openxmlformats.org/officeDocument/2006/relationships/hyperlink" Target="https://www.google.com/maps/dir/?api=1&amp;origin=Sant+Jordi+Desvalls&amp;destination=Sant%20Jordi%20Desvalls" TargetMode="External"/><Relationship Id="rId3" Type="http://schemas.openxmlformats.org/officeDocument/2006/relationships/hyperlink" Target="https://www.google.com/maps/dir/?api=1&amp;origin=Sant+Jordi+Desvalls&amp;destination=Palafrugell" TargetMode="External"/><Relationship Id="rId12" Type="http://schemas.openxmlformats.org/officeDocument/2006/relationships/hyperlink" Target="mailto:lourdesdb73@gmail.com" TargetMode="External"/><Relationship Id="rId17" Type="http://schemas.openxmlformats.org/officeDocument/2006/relationships/hyperlink" Target="https://www.google.com/maps/dir/?api=1&amp;origin=Sant+Jordi+Desvalls&amp;destination=El%20Bruc" TargetMode="External"/><Relationship Id="rId25" Type="http://schemas.openxmlformats.org/officeDocument/2006/relationships/hyperlink" Target="https://www.google.com/maps/dir/?api=1&amp;origin=Sant+Jordi+Desvalls&amp;destination=Salt" TargetMode="External"/><Relationship Id="rId33" Type="http://schemas.openxmlformats.org/officeDocument/2006/relationships/hyperlink" Target="https://www.google.com/maps/dir/?api=1&amp;origin=Sant+Jordi+Desvalls&amp;destination=La%20Bisbal%20d%27Empord%C3%A0" TargetMode="External"/><Relationship Id="rId38" Type="http://schemas.openxmlformats.org/officeDocument/2006/relationships/hyperlink" Target="https://www.google.com/maps/dir/?api=1&amp;origin=Sant+Jordi+Desvalls&amp;destination=Sant%20Jordi%20Desvall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dir/?api=1&amp;origin=Sant+Jordi+Desvalls&amp;destination=Calonge%20i%20Sant%20antoni" TargetMode="External"/><Relationship Id="rId2" Type="http://schemas.openxmlformats.org/officeDocument/2006/relationships/hyperlink" Target="https://www.google.com/maps/dir/?api=1&amp;origin=Sant+Jordi+Desvalls&amp;destination=Vilanova%20del%20Cam%C3%AD" TargetMode="External"/><Relationship Id="rId1" Type="http://schemas.openxmlformats.org/officeDocument/2006/relationships/hyperlink" Target="https://www.google.com/maps/dir/?api=1&amp;origin=Sant+Jordi+Desvalls&amp;destination=Blanes%20-Girona" TargetMode="External"/><Relationship Id="rId6" Type="http://schemas.openxmlformats.org/officeDocument/2006/relationships/hyperlink" Target="https://www.google.com/maps/dir/?api=1&amp;origin=Sant+Jordi+Desvalls&amp;destination=BARCELONA" TargetMode="External"/><Relationship Id="rId5" Type="http://schemas.openxmlformats.org/officeDocument/2006/relationships/hyperlink" Target="https://www.google.com/maps/dir/?api=1&amp;origin=Sant+Jordi+Desvalls&amp;destination=Cervi%C3%A0%20de%20ter" TargetMode="External"/><Relationship Id="rId4" Type="http://schemas.openxmlformats.org/officeDocument/2006/relationships/hyperlink" Target="https://www.google.com/maps/dir/?api=1&amp;origin=Sant+Jordi+Desvalls&amp;destination=Terras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8BA6-1C92-4661-A553-A2F215A02396}">
  <dimension ref="A1:W62"/>
  <sheetViews>
    <sheetView tabSelected="1" topLeftCell="A10" workbookViewId="0">
      <selection activeCell="C18" sqref="C18:G34"/>
    </sheetView>
  </sheetViews>
  <sheetFormatPr defaultRowHeight="15" x14ac:dyDescent="0.25"/>
  <cols>
    <col min="1" max="1" width="14.28515625" bestFit="1" customWidth="1"/>
    <col min="2" max="2" width="24.85546875" bestFit="1" customWidth="1"/>
    <col min="3" max="3" width="27.140625" bestFit="1" customWidth="1"/>
    <col min="4" max="4" width="11" bestFit="1" customWidth="1"/>
    <col min="5" max="5" width="33.28515625" bestFit="1" customWidth="1"/>
    <col min="6" max="6" width="10" bestFit="1" customWidth="1"/>
    <col min="7" max="7" width="20.5703125" bestFit="1" customWidth="1"/>
    <col min="18" max="18" width="10.5703125" bestFit="1" customWidth="1"/>
    <col min="19" max="19" width="10.42578125" bestFit="1" customWidth="1"/>
    <col min="20" max="20" width="10.7109375" bestFit="1" customWidth="1"/>
    <col min="22" max="22" width="10.42578125" bestFit="1" customWidth="1"/>
    <col min="23" max="23" width="10.7109375" bestFit="1" customWidth="1"/>
  </cols>
  <sheetData>
    <row r="1" spans="1:23" x14ac:dyDescent="0.25">
      <c r="R1" s="2" t="s">
        <v>145</v>
      </c>
      <c r="S1" s="2">
        <v>50</v>
      </c>
      <c r="T1" s="2" t="s">
        <v>144</v>
      </c>
      <c r="U1" s="2" t="s">
        <v>145</v>
      </c>
      <c r="V1" s="2"/>
      <c r="W1" s="2" t="s">
        <v>144</v>
      </c>
    </row>
    <row r="2" spans="1:23" s="2" customFormat="1" x14ac:dyDescent="0.25">
      <c r="A2" s="2" t="s">
        <v>0</v>
      </c>
      <c r="B2" s="2" t="s">
        <v>198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S2" s="3" t="s">
        <v>146</v>
      </c>
      <c r="T2" s="3" t="s">
        <v>148</v>
      </c>
      <c r="V2" s="3" t="s">
        <v>146</v>
      </c>
      <c r="W2" s="3" t="s">
        <v>148</v>
      </c>
    </row>
    <row r="3" spans="1:23" x14ac:dyDescent="0.25">
      <c r="A3" t="s">
        <v>8</v>
      </c>
      <c r="B3" s="24" t="s">
        <v>185</v>
      </c>
      <c r="C3" t="s">
        <v>9</v>
      </c>
      <c r="D3" t="s">
        <v>10</v>
      </c>
      <c r="E3" t="s">
        <v>11</v>
      </c>
      <c r="F3">
        <v>675809849</v>
      </c>
      <c r="G3" t="s">
        <v>12</v>
      </c>
      <c r="H3">
        <v>22.4</v>
      </c>
      <c r="I3" s="1" t="s">
        <v>13</v>
      </c>
      <c r="S3" s="4">
        <f>+IF(H3&gt;Full1!S$1,H3-Full1!S$1,0)*2</f>
        <v>44.8</v>
      </c>
      <c r="T3" s="5">
        <f>+S3*0.25</f>
        <v>11.2</v>
      </c>
      <c r="V3" s="4">
        <f>+IF(H3&gt;Full1!V$1,H3-Full1!V$1,0)*2</f>
        <v>44.8</v>
      </c>
      <c r="W3" s="5">
        <f>+V3*0.25</f>
        <v>11.2</v>
      </c>
    </row>
    <row r="4" spans="1:23" x14ac:dyDescent="0.25">
      <c r="A4" t="s">
        <v>8</v>
      </c>
      <c r="B4" s="25" t="s">
        <v>206</v>
      </c>
      <c r="C4" t="s">
        <v>14</v>
      </c>
      <c r="D4" t="s">
        <v>15</v>
      </c>
      <c r="E4" t="s">
        <v>16</v>
      </c>
      <c r="F4">
        <v>669203640</v>
      </c>
      <c r="G4" t="s">
        <v>17</v>
      </c>
      <c r="H4">
        <v>87.4</v>
      </c>
      <c r="I4" s="1" t="s">
        <v>18</v>
      </c>
      <c r="S4" s="4">
        <f>+IF(H4&gt;Full1!S$1,H4-Full1!S$1,0)*2</f>
        <v>174.8</v>
      </c>
      <c r="T4" s="5">
        <f>+S4*0.25</f>
        <v>43.7</v>
      </c>
      <c r="V4" s="4">
        <f>+IF(H4&gt;Full1!V$1,H4-Full1!V$1,0)*2</f>
        <v>174.8</v>
      </c>
      <c r="W4" s="5">
        <f>+V4*0.25</f>
        <v>43.7</v>
      </c>
    </row>
    <row r="5" spans="1:23" x14ac:dyDescent="0.25">
      <c r="A5" t="s">
        <v>8</v>
      </c>
      <c r="B5" s="24" t="s">
        <v>186</v>
      </c>
      <c r="C5" t="s">
        <v>19</v>
      </c>
      <c r="D5" t="s">
        <v>20</v>
      </c>
      <c r="E5" t="s">
        <v>21</v>
      </c>
      <c r="F5">
        <v>600031910</v>
      </c>
      <c r="G5" t="s">
        <v>22</v>
      </c>
      <c r="H5">
        <v>16.600000000000001</v>
      </c>
      <c r="I5" s="1" t="s">
        <v>23</v>
      </c>
      <c r="S5" s="4">
        <f>+IF(H5&gt;Full1!S$1,H5-Full1!S$1,0)*2</f>
        <v>33.200000000000003</v>
      </c>
      <c r="T5" s="5">
        <f>+S5*0.25</f>
        <v>8.3000000000000007</v>
      </c>
      <c r="V5" s="4">
        <f>+IF(H5&gt;Full1!V$1,H5-Full1!V$1,0)*2</f>
        <v>33.200000000000003</v>
      </c>
      <c r="W5" s="5">
        <f>+V5*0.25</f>
        <v>8.3000000000000007</v>
      </c>
    </row>
    <row r="6" spans="1:23" x14ac:dyDescent="0.25">
      <c r="A6" t="s">
        <v>8</v>
      </c>
      <c r="B6" s="24" t="s">
        <v>187</v>
      </c>
      <c r="C6" t="s">
        <v>24</v>
      </c>
      <c r="D6" t="s">
        <v>25</v>
      </c>
      <c r="E6" t="s">
        <v>26</v>
      </c>
      <c r="F6">
        <v>656335924</v>
      </c>
      <c r="G6" t="s">
        <v>27</v>
      </c>
      <c r="H6">
        <v>3.8</v>
      </c>
      <c r="I6" s="1" t="s">
        <v>28</v>
      </c>
      <c r="S6" s="4">
        <f>+IF(H6&gt;Full1!S$1,H6-Full1!S$1,0)*2</f>
        <v>7.6</v>
      </c>
      <c r="T6" s="5">
        <f>+S6*0.25</f>
        <v>1.9</v>
      </c>
      <c r="V6" s="4">
        <f>+IF(H6&gt;Full1!V$1,H6-Full1!V$1,0)*2</f>
        <v>7.6</v>
      </c>
      <c r="W6" s="5">
        <f>+V6*0.25</f>
        <v>1.9</v>
      </c>
    </row>
    <row r="7" spans="1:23" x14ac:dyDescent="0.25">
      <c r="A7" t="s">
        <v>8</v>
      </c>
      <c r="B7" s="24" t="s">
        <v>188</v>
      </c>
      <c r="C7" t="s">
        <v>29</v>
      </c>
      <c r="D7" t="s">
        <v>30</v>
      </c>
      <c r="E7" t="s">
        <v>31</v>
      </c>
      <c r="F7">
        <v>640350763</v>
      </c>
      <c r="G7" t="s">
        <v>32</v>
      </c>
      <c r="H7">
        <v>119.7</v>
      </c>
      <c r="I7" s="1" t="s">
        <v>33</v>
      </c>
      <c r="S7" s="4">
        <f>+IF(H7&gt;Full1!S$1,H7-Full1!S$1,0)*2</f>
        <v>239.4</v>
      </c>
      <c r="T7" s="5">
        <f>+S7*0.25</f>
        <v>59.85</v>
      </c>
      <c r="V7" s="4">
        <f>+IF(H7&gt;Full1!V$1,H7-Full1!V$1,0)*2</f>
        <v>239.4</v>
      </c>
      <c r="W7" s="5">
        <f>+V7*0.25</f>
        <v>59.85</v>
      </c>
    </row>
    <row r="8" spans="1:23" x14ac:dyDescent="0.25">
      <c r="A8" t="s">
        <v>8</v>
      </c>
      <c r="B8" s="24" t="s">
        <v>189</v>
      </c>
      <c r="C8" t="s">
        <v>34</v>
      </c>
      <c r="D8" t="s">
        <v>35</v>
      </c>
      <c r="E8" t="s">
        <v>36</v>
      </c>
      <c r="F8">
        <v>660656698</v>
      </c>
      <c r="G8" t="s">
        <v>37</v>
      </c>
      <c r="H8">
        <v>113.2</v>
      </c>
      <c r="I8" s="1" t="s">
        <v>38</v>
      </c>
      <c r="S8" s="4">
        <f>+IF(H8&gt;Full1!S$1,H8-Full1!S$1,0)*2</f>
        <v>226.4</v>
      </c>
      <c r="T8" s="5">
        <f>+S8*0.25</f>
        <v>56.6</v>
      </c>
      <c r="V8" s="4">
        <f>+IF(H8&gt;Full1!V$1,H8-Full1!V$1,0)*2</f>
        <v>226.4</v>
      </c>
      <c r="W8" s="5">
        <f>+V8*0.25</f>
        <v>56.6</v>
      </c>
    </row>
    <row r="9" spans="1:23" x14ac:dyDescent="0.25">
      <c r="A9" t="s">
        <v>8</v>
      </c>
      <c r="B9" s="24" t="s">
        <v>191</v>
      </c>
      <c r="C9" t="s">
        <v>44</v>
      </c>
      <c r="D9" t="s">
        <v>45</v>
      </c>
      <c r="E9" t="s">
        <v>46</v>
      </c>
      <c r="F9">
        <v>662093243</v>
      </c>
      <c r="G9" t="s">
        <v>47</v>
      </c>
      <c r="H9">
        <v>54.8</v>
      </c>
      <c r="I9" s="1" t="s">
        <v>48</v>
      </c>
      <c r="S9" s="4">
        <f>+IF(H9&gt;Full1!S$1,H9-Full1!S$1,0)*2</f>
        <v>109.6</v>
      </c>
      <c r="T9" s="5">
        <f>+S9*0.25</f>
        <v>27.4</v>
      </c>
      <c r="V9" s="4">
        <f>+IF(H9&gt;Full1!V$1,H9-Full1!V$1,0)*2</f>
        <v>109.6</v>
      </c>
      <c r="W9" s="5">
        <f>+V9*0.25</f>
        <v>27.4</v>
      </c>
    </row>
    <row r="10" spans="1:23" x14ac:dyDescent="0.25">
      <c r="A10" t="s">
        <v>8</v>
      </c>
      <c r="B10" s="24" t="s">
        <v>193</v>
      </c>
      <c r="C10" t="s">
        <v>54</v>
      </c>
      <c r="D10" t="s">
        <v>55</v>
      </c>
      <c r="E10" t="s">
        <v>56</v>
      </c>
      <c r="F10">
        <v>638024551</v>
      </c>
      <c r="G10" t="s">
        <v>57</v>
      </c>
      <c r="H10">
        <v>0</v>
      </c>
      <c r="I10" s="1" t="s">
        <v>58</v>
      </c>
      <c r="S10" s="4">
        <f>+IF(H10&gt;Full1!S$1,H10-Full1!S$1,0)*2</f>
        <v>0</v>
      </c>
      <c r="T10" s="5">
        <f>+S10*0.25</f>
        <v>0</v>
      </c>
      <c r="V10" s="4">
        <f>+IF(H10&gt;Full1!V$1,H10-Full1!V$1,0)*2</f>
        <v>0</v>
      </c>
      <c r="W10" s="5">
        <f>+V10*0.25</f>
        <v>0</v>
      </c>
    </row>
    <row r="11" spans="1:23" x14ac:dyDescent="0.25">
      <c r="A11" t="s">
        <v>8</v>
      </c>
      <c r="B11" s="24" t="s">
        <v>195</v>
      </c>
      <c r="C11" t="s">
        <v>64</v>
      </c>
      <c r="D11" t="s">
        <v>65</v>
      </c>
      <c r="E11" t="s">
        <v>66</v>
      </c>
      <c r="F11">
        <v>635545306</v>
      </c>
      <c r="G11" t="s">
        <v>67</v>
      </c>
      <c r="H11">
        <v>21.9</v>
      </c>
      <c r="I11" s="1" t="s">
        <v>68</v>
      </c>
      <c r="S11" s="4">
        <f>+IF(H11&gt;Full1!S$1,H11-Full1!S$1,0)*2</f>
        <v>43.8</v>
      </c>
      <c r="T11" s="5">
        <f>+S11*0.25</f>
        <v>10.95</v>
      </c>
      <c r="V11" s="4">
        <f>+IF(H11&gt;Full1!V$1,H11-Full1!V$1,0)*2</f>
        <v>43.8</v>
      </c>
      <c r="W11" s="5">
        <f>+V11*0.25</f>
        <v>10.95</v>
      </c>
    </row>
    <row r="12" spans="1:23" x14ac:dyDescent="0.25">
      <c r="A12" t="s">
        <v>8</v>
      </c>
      <c r="B12" s="24" t="s">
        <v>196</v>
      </c>
      <c r="C12" t="s">
        <v>69</v>
      </c>
      <c r="D12" t="s">
        <v>70</v>
      </c>
      <c r="E12" t="s">
        <v>71</v>
      </c>
      <c r="F12">
        <v>606865341</v>
      </c>
      <c r="G12" t="s">
        <v>72</v>
      </c>
      <c r="H12">
        <v>28.5</v>
      </c>
      <c r="I12" s="1" t="s">
        <v>73</v>
      </c>
      <c r="S12" s="4">
        <f>+IF(H12&gt;Full1!S$1,H12-Full1!S$1,0)*2</f>
        <v>57</v>
      </c>
      <c r="T12" s="5">
        <f>+S12*0.25</f>
        <v>14.25</v>
      </c>
      <c r="V12" s="4">
        <f>+IF(H12&gt;Full1!V$1,H12-Full1!V$1,0)*2</f>
        <v>57</v>
      </c>
      <c r="W12" s="5">
        <f>+V12*0.25</f>
        <v>14.25</v>
      </c>
    </row>
    <row r="13" spans="1:23" x14ac:dyDescent="0.25">
      <c r="A13" t="s">
        <v>8</v>
      </c>
      <c r="B13" s="24" t="s">
        <v>204</v>
      </c>
      <c r="C13" t="s">
        <v>74</v>
      </c>
      <c r="D13" t="s">
        <v>75</v>
      </c>
      <c r="E13" t="s">
        <v>76</v>
      </c>
      <c r="F13">
        <v>972798135</v>
      </c>
      <c r="G13" t="s">
        <v>77</v>
      </c>
      <c r="H13">
        <v>0</v>
      </c>
      <c r="I13" s="1" t="s">
        <v>78</v>
      </c>
      <c r="S13" s="4">
        <f>+IF(H13&gt;Full1!S$1,H13-Full1!S$1,0)*2</f>
        <v>0</v>
      </c>
      <c r="T13" s="5">
        <f>+S13*0.25</f>
        <v>0</v>
      </c>
      <c r="V13" s="4">
        <f>+IF(H13&gt;Full1!V$1,H13-Full1!V$1,0)*2</f>
        <v>0</v>
      </c>
      <c r="W13" s="5">
        <f>+V13*0.25</f>
        <v>0</v>
      </c>
    </row>
    <row r="14" spans="1:23" x14ac:dyDescent="0.25">
      <c r="A14" t="s">
        <v>8</v>
      </c>
      <c r="B14" s="24" t="s">
        <v>197</v>
      </c>
      <c r="C14" t="s">
        <v>79</v>
      </c>
      <c r="D14" t="s">
        <v>80</v>
      </c>
      <c r="E14" t="s">
        <v>81</v>
      </c>
      <c r="F14">
        <v>653606309</v>
      </c>
      <c r="G14" t="s">
        <v>32</v>
      </c>
      <c r="H14">
        <v>119.7</v>
      </c>
      <c r="I14" s="1" t="s">
        <v>33</v>
      </c>
      <c r="S14" s="4">
        <f>+IF(H14&gt;Full1!S$1,H14-Full1!S$1,0)*2</f>
        <v>239.4</v>
      </c>
      <c r="T14" s="5">
        <f>+S14*0.25</f>
        <v>59.85</v>
      </c>
      <c r="V14" s="4">
        <f>+IF(H14&gt;Full1!V$1,H14-Full1!V$1,0)*2</f>
        <v>239.4</v>
      </c>
      <c r="W14" s="5">
        <f>+V14*0.25</f>
        <v>59.85</v>
      </c>
    </row>
    <row r="15" spans="1:23" x14ac:dyDescent="0.25">
      <c r="A15" t="s">
        <v>8</v>
      </c>
      <c r="B15" t="s">
        <v>205</v>
      </c>
      <c r="S15" s="4">
        <f>+IF(H15&gt;Full1!S$1,H15-Full1!S$1,0)*2</f>
        <v>0</v>
      </c>
      <c r="T15" s="5">
        <f t="shared" ref="T15:T17" si="0">+S15*0.25</f>
        <v>0</v>
      </c>
      <c r="V15" s="4">
        <f>+IF(H15&gt;Full1!V$1,H15-Full1!V$1,0)*2</f>
        <v>0</v>
      </c>
      <c r="W15" s="5">
        <f t="shared" ref="W15:W17" si="1">+V15*0.25</f>
        <v>0</v>
      </c>
    </row>
    <row r="16" spans="1:23" x14ac:dyDescent="0.25">
      <c r="A16" t="s">
        <v>8</v>
      </c>
      <c r="B16" t="s">
        <v>207</v>
      </c>
      <c r="G16" t="s">
        <v>32</v>
      </c>
      <c r="H16">
        <v>119.7</v>
      </c>
      <c r="I16" s="1" t="s">
        <v>33</v>
      </c>
      <c r="S16" s="4">
        <f>+IF(H16&gt;Full1!S$1,H16-Full1!S$1,0)*2</f>
        <v>239.4</v>
      </c>
      <c r="T16" s="5">
        <f t="shared" si="0"/>
        <v>59.85</v>
      </c>
      <c r="V16" s="4">
        <f>+IF(H16&gt;Full1!V$1,H16-Full1!V$1,0)*2</f>
        <v>239.4</v>
      </c>
      <c r="W16" s="5">
        <f t="shared" si="1"/>
        <v>59.85</v>
      </c>
    </row>
    <row r="17" spans="1:23" x14ac:dyDescent="0.25">
      <c r="A17" t="s">
        <v>8</v>
      </c>
      <c r="B17" t="s">
        <v>208</v>
      </c>
      <c r="S17" s="4">
        <f>+IF(H17&gt;Full1!S$1,H17-Full1!S$1,0)*2</f>
        <v>0</v>
      </c>
      <c r="T17" s="5">
        <f t="shared" si="0"/>
        <v>0</v>
      </c>
      <c r="V17" s="4">
        <f>+IF(H17&gt;Full1!V$1,H17-Full1!V$1,0)*2</f>
        <v>0</v>
      </c>
      <c r="W17" s="5">
        <f t="shared" si="1"/>
        <v>0</v>
      </c>
    </row>
    <row r="18" spans="1:23" x14ac:dyDescent="0.25">
      <c r="C18" s="12" t="s">
        <v>163</v>
      </c>
      <c r="D18" s="19" t="s">
        <v>84</v>
      </c>
      <c r="E18" s="19" t="s">
        <v>85</v>
      </c>
      <c r="F18" s="19">
        <v>635414083</v>
      </c>
      <c r="G18" s="19" t="s">
        <v>86</v>
      </c>
      <c r="H18">
        <v>21.9</v>
      </c>
      <c r="I18" s="1" t="s">
        <v>87</v>
      </c>
      <c r="S18" s="6">
        <f t="shared" ref="S18:S34" si="2">+IF(H18&gt;S$1,H18-S$1,0)*2</f>
        <v>0</v>
      </c>
      <c r="T18" s="5">
        <f t="shared" ref="T18:T34" si="3">+S18*0.25</f>
        <v>0</v>
      </c>
      <c r="V18" s="4">
        <f t="shared" ref="V18:V34" si="4">+IF(H18&gt;V$1,H18-V$1,0)*2</f>
        <v>43.8</v>
      </c>
      <c r="W18" s="5">
        <f t="shared" ref="W18:W34" si="5">+V18*0.25</f>
        <v>10.95</v>
      </c>
    </row>
    <row r="19" spans="1:23" x14ac:dyDescent="0.25">
      <c r="C19" s="20" t="s">
        <v>177</v>
      </c>
      <c r="D19" s="4"/>
      <c r="E19" s="4" t="s">
        <v>162</v>
      </c>
      <c r="F19" s="4" t="s">
        <v>157</v>
      </c>
      <c r="G19" s="4" t="s">
        <v>160</v>
      </c>
      <c r="S19" s="6">
        <f t="shared" si="2"/>
        <v>0</v>
      </c>
      <c r="T19" s="5">
        <f t="shared" si="3"/>
        <v>0</v>
      </c>
      <c r="V19" s="4">
        <f t="shared" si="4"/>
        <v>0</v>
      </c>
      <c r="W19" s="5">
        <f t="shared" si="5"/>
        <v>0</v>
      </c>
    </row>
    <row r="20" spans="1:23" ht="16.5" customHeight="1" x14ac:dyDescent="0.25">
      <c r="C20" s="12" t="s">
        <v>178</v>
      </c>
      <c r="D20" s="19" t="s">
        <v>109</v>
      </c>
      <c r="E20" s="19" t="s">
        <v>110</v>
      </c>
      <c r="F20" s="19">
        <v>630920517</v>
      </c>
      <c r="G20" s="19" t="s">
        <v>111</v>
      </c>
      <c r="H20">
        <v>142.1</v>
      </c>
      <c r="I20" s="1" t="s">
        <v>112</v>
      </c>
      <c r="S20" s="6">
        <f t="shared" si="2"/>
        <v>184.2</v>
      </c>
      <c r="T20" s="5">
        <f t="shared" si="3"/>
        <v>46.05</v>
      </c>
      <c r="V20" s="4">
        <f t="shared" si="4"/>
        <v>284.2</v>
      </c>
      <c r="W20" s="5">
        <f t="shared" si="5"/>
        <v>71.05</v>
      </c>
    </row>
    <row r="21" spans="1:23" x14ac:dyDescent="0.25">
      <c r="C21" s="12" t="s">
        <v>164</v>
      </c>
      <c r="D21" s="19" t="s">
        <v>89</v>
      </c>
      <c r="E21" s="19" t="s">
        <v>90</v>
      </c>
      <c r="F21" s="19">
        <v>626032030</v>
      </c>
      <c r="G21" s="19" t="s">
        <v>91</v>
      </c>
      <c r="H21">
        <v>147.1</v>
      </c>
      <c r="I21" s="1" t="s">
        <v>92</v>
      </c>
      <c r="S21" s="6">
        <f t="shared" si="2"/>
        <v>194.2</v>
      </c>
      <c r="T21" s="5">
        <f t="shared" si="3"/>
        <v>48.55</v>
      </c>
      <c r="V21" s="4">
        <f t="shared" si="4"/>
        <v>294.2</v>
      </c>
      <c r="W21" s="5">
        <f t="shared" si="5"/>
        <v>73.55</v>
      </c>
    </row>
    <row r="22" spans="1:23" x14ac:dyDescent="0.25">
      <c r="C22" s="12" t="s">
        <v>99</v>
      </c>
      <c r="D22" s="19" t="s">
        <v>100</v>
      </c>
      <c r="E22" s="19" t="s">
        <v>101</v>
      </c>
      <c r="F22" s="19">
        <v>609038033</v>
      </c>
      <c r="G22" s="19" t="s">
        <v>102</v>
      </c>
      <c r="H22">
        <v>21.9</v>
      </c>
      <c r="I22" s="1" t="s">
        <v>87</v>
      </c>
      <c r="S22" s="6">
        <f t="shared" si="2"/>
        <v>0</v>
      </c>
      <c r="T22" s="5">
        <f t="shared" si="3"/>
        <v>0</v>
      </c>
      <c r="V22" s="4">
        <f t="shared" si="4"/>
        <v>43.8</v>
      </c>
      <c r="W22" s="5">
        <f t="shared" si="5"/>
        <v>10.95</v>
      </c>
    </row>
    <row r="23" spans="1:23" x14ac:dyDescent="0.25">
      <c r="C23" s="21" t="s">
        <v>165</v>
      </c>
      <c r="D23" s="4"/>
      <c r="E23" s="4"/>
      <c r="F23" s="4"/>
      <c r="G23" s="4" t="s">
        <v>57</v>
      </c>
      <c r="H23">
        <v>0</v>
      </c>
      <c r="S23" s="6">
        <f t="shared" si="2"/>
        <v>0</v>
      </c>
      <c r="T23" s="5">
        <f t="shared" si="3"/>
        <v>0</v>
      </c>
      <c r="V23" s="4">
        <f t="shared" si="4"/>
        <v>0</v>
      </c>
      <c r="W23" s="5">
        <f t="shared" si="5"/>
        <v>0</v>
      </c>
    </row>
    <row r="24" spans="1:23" x14ac:dyDescent="0.25">
      <c r="C24" s="21" t="s">
        <v>166</v>
      </c>
      <c r="D24" s="4"/>
      <c r="E24" s="4"/>
      <c r="F24" s="4"/>
      <c r="G24" s="4" t="s">
        <v>27</v>
      </c>
      <c r="H24">
        <v>4</v>
      </c>
      <c r="I24" t="s">
        <v>203</v>
      </c>
      <c r="S24" s="6">
        <f t="shared" si="2"/>
        <v>0</v>
      </c>
      <c r="T24" s="5">
        <f t="shared" si="3"/>
        <v>0</v>
      </c>
      <c r="V24" s="4">
        <f t="shared" si="4"/>
        <v>8</v>
      </c>
      <c r="W24" s="5">
        <f t="shared" si="5"/>
        <v>2</v>
      </c>
    </row>
    <row r="25" spans="1:23" x14ac:dyDescent="0.25">
      <c r="C25" s="21" t="s">
        <v>167</v>
      </c>
      <c r="D25" s="19" t="s">
        <v>130</v>
      </c>
      <c r="E25" s="19" t="s">
        <v>131</v>
      </c>
      <c r="F25" s="19">
        <v>669141656</v>
      </c>
      <c r="G25" s="19" t="s">
        <v>132</v>
      </c>
      <c r="H25">
        <v>128.4</v>
      </c>
      <c r="I25" s="1" t="s">
        <v>133</v>
      </c>
      <c r="S25" s="6">
        <f t="shared" si="2"/>
        <v>156.80000000000001</v>
      </c>
      <c r="T25" s="5">
        <f t="shared" si="3"/>
        <v>39.200000000000003</v>
      </c>
      <c r="V25" s="4">
        <f t="shared" si="4"/>
        <v>256.8</v>
      </c>
      <c r="W25" s="5">
        <f t="shared" si="5"/>
        <v>64.2</v>
      </c>
    </row>
    <row r="26" spans="1:23" x14ac:dyDescent="0.25">
      <c r="C26" s="21" t="s">
        <v>168</v>
      </c>
      <c r="D26" s="4"/>
      <c r="E26" s="4"/>
      <c r="F26" s="4"/>
      <c r="G26" s="4" t="s">
        <v>57</v>
      </c>
      <c r="H26">
        <v>0</v>
      </c>
      <c r="S26" s="6">
        <f t="shared" si="2"/>
        <v>0</v>
      </c>
      <c r="T26" s="5">
        <f t="shared" si="3"/>
        <v>0</v>
      </c>
      <c r="V26" s="4">
        <f t="shared" si="4"/>
        <v>0</v>
      </c>
      <c r="W26" s="5">
        <f t="shared" si="5"/>
        <v>0</v>
      </c>
    </row>
    <row r="27" spans="1:23" x14ac:dyDescent="0.25">
      <c r="C27" s="21" t="s">
        <v>169</v>
      </c>
      <c r="D27" s="4"/>
      <c r="E27" s="4"/>
      <c r="F27" s="4"/>
      <c r="G27" s="4" t="s">
        <v>57</v>
      </c>
      <c r="H27">
        <v>0</v>
      </c>
      <c r="S27" s="6">
        <f t="shared" si="2"/>
        <v>0</v>
      </c>
      <c r="T27" s="5">
        <f t="shared" si="3"/>
        <v>0</v>
      </c>
      <c r="V27" s="4">
        <f t="shared" si="4"/>
        <v>0</v>
      </c>
      <c r="W27" s="5">
        <f t="shared" si="5"/>
        <v>0</v>
      </c>
    </row>
    <row r="28" spans="1:23" x14ac:dyDescent="0.25">
      <c r="C28" s="12" t="s">
        <v>176</v>
      </c>
      <c r="D28" s="19" t="s">
        <v>124</v>
      </c>
      <c r="E28" s="19" t="s">
        <v>125</v>
      </c>
      <c r="F28" s="19">
        <v>645290106</v>
      </c>
      <c r="G28" s="19" t="s">
        <v>121</v>
      </c>
      <c r="H28">
        <v>25.1</v>
      </c>
      <c r="I28" s="1" t="s">
        <v>122</v>
      </c>
      <c r="S28" s="6">
        <f t="shared" si="2"/>
        <v>0</v>
      </c>
      <c r="T28" s="5">
        <f t="shared" si="3"/>
        <v>0</v>
      </c>
      <c r="V28" s="4">
        <f t="shared" si="4"/>
        <v>50.2</v>
      </c>
      <c r="W28" s="5">
        <f t="shared" si="5"/>
        <v>12.55</v>
      </c>
    </row>
    <row r="29" spans="1:23" x14ac:dyDescent="0.25">
      <c r="C29" s="12" t="s">
        <v>175</v>
      </c>
      <c r="D29" s="19" t="s">
        <v>119</v>
      </c>
      <c r="E29" s="19" t="s">
        <v>120</v>
      </c>
      <c r="F29" s="19">
        <v>675275868</v>
      </c>
      <c r="G29" s="19" t="s">
        <v>121</v>
      </c>
      <c r="H29">
        <v>25.1</v>
      </c>
      <c r="I29" s="1" t="s">
        <v>122</v>
      </c>
      <c r="S29" s="6">
        <f t="shared" si="2"/>
        <v>0</v>
      </c>
      <c r="T29" s="5">
        <f t="shared" si="3"/>
        <v>0</v>
      </c>
      <c r="V29" s="4">
        <f t="shared" si="4"/>
        <v>50.2</v>
      </c>
      <c r="W29" s="5">
        <f t="shared" si="5"/>
        <v>12.55</v>
      </c>
    </row>
    <row r="30" spans="1:23" x14ac:dyDescent="0.25">
      <c r="C30" s="20" t="s">
        <v>170</v>
      </c>
      <c r="D30" s="4" t="s">
        <v>135</v>
      </c>
      <c r="E30" s="4" t="s">
        <v>136</v>
      </c>
      <c r="F30" s="4">
        <v>658821488</v>
      </c>
      <c r="G30" s="4" t="s">
        <v>137</v>
      </c>
      <c r="H30">
        <v>116</v>
      </c>
      <c r="I30" t="s">
        <v>200</v>
      </c>
      <c r="S30" s="6">
        <f t="shared" si="2"/>
        <v>132</v>
      </c>
      <c r="T30" s="5">
        <f t="shared" si="3"/>
        <v>33</v>
      </c>
      <c r="V30" s="4">
        <f t="shared" si="4"/>
        <v>232</v>
      </c>
      <c r="W30" s="5">
        <f t="shared" si="5"/>
        <v>58</v>
      </c>
    </row>
    <row r="31" spans="1:23" x14ac:dyDescent="0.25">
      <c r="C31" s="4" t="s">
        <v>171</v>
      </c>
      <c r="D31" s="4"/>
      <c r="E31" s="4"/>
      <c r="F31" s="4"/>
      <c r="G31" s="4" t="s">
        <v>179</v>
      </c>
      <c r="H31">
        <v>14.8</v>
      </c>
      <c r="I31" t="s">
        <v>201</v>
      </c>
      <c r="S31" s="6">
        <f t="shared" si="2"/>
        <v>0</v>
      </c>
      <c r="T31" s="5">
        <f t="shared" si="3"/>
        <v>0</v>
      </c>
      <c r="V31" s="4">
        <f t="shared" si="4"/>
        <v>29.6</v>
      </c>
      <c r="W31" s="5">
        <f t="shared" si="5"/>
        <v>7.4</v>
      </c>
    </row>
    <row r="32" spans="1:23" x14ac:dyDescent="0.25">
      <c r="C32" s="12" t="s">
        <v>172</v>
      </c>
      <c r="D32" s="12" t="s">
        <v>114</v>
      </c>
      <c r="E32" s="12" t="s">
        <v>161</v>
      </c>
      <c r="F32" s="12">
        <v>649165093</v>
      </c>
      <c r="G32" s="12" t="s">
        <v>159</v>
      </c>
      <c r="H32">
        <v>120</v>
      </c>
      <c r="I32" s="23" t="s">
        <v>199</v>
      </c>
      <c r="S32" s="6">
        <f t="shared" si="2"/>
        <v>140</v>
      </c>
      <c r="T32" s="5">
        <f t="shared" si="3"/>
        <v>35</v>
      </c>
      <c r="V32" s="4">
        <f t="shared" si="4"/>
        <v>240</v>
      </c>
      <c r="W32" s="5">
        <f t="shared" si="5"/>
        <v>60</v>
      </c>
    </row>
    <row r="33" spans="1:23" x14ac:dyDescent="0.25">
      <c r="C33" s="12" t="s">
        <v>173</v>
      </c>
      <c r="D33" s="12" t="s">
        <v>94</v>
      </c>
      <c r="E33" s="12" t="s">
        <v>95</v>
      </c>
      <c r="F33" s="12">
        <v>652535447</v>
      </c>
      <c r="G33" s="12" t="s">
        <v>158</v>
      </c>
      <c r="H33">
        <v>27.8</v>
      </c>
      <c r="I33" s="22" t="s">
        <v>202</v>
      </c>
      <c r="S33" s="6">
        <f t="shared" si="2"/>
        <v>0</v>
      </c>
      <c r="T33" s="5">
        <f t="shared" si="3"/>
        <v>0</v>
      </c>
      <c r="V33" s="4">
        <f t="shared" si="4"/>
        <v>55.6</v>
      </c>
      <c r="W33" s="5">
        <f t="shared" si="5"/>
        <v>13.9</v>
      </c>
    </row>
    <row r="34" spans="1:23" x14ac:dyDescent="0.25">
      <c r="C34" s="20" t="s">
        <v>174</v>
      </c>
      <c r="D34" s="4"/>
      <c r="E34" s="4"/>
      <c r="F34" s="4"/>
      <c r="G34" s="4" t="s">
        <v>102</v>
      </c>
      <c r="H34">
        <v>21.9</v>
      </c>
      <c r="I34" s="1" t="s">
        <v>87</v>
      </c>
      <c r="S34" s="6">
        <f t="shared" si="2"/>
        <v>0</v>
      </c>
      <c r="T34" s="5">
        <f t="shared" si="3"/>
        <v>0</v>
      </c>
      <c r="V34" s="4">
        <f t="shared" si="4"/>
        <v>43.8</v>
      </c>
      <c r="W34" s="5">
        <f t="shared" si="5"/>
        <v>10.95</v>
      </c>
    </row>
    <row r="35" spans="1:23" x14ac:dyDescent="0.25">
      <c r="R35" s="3" t="s">
        <v>147</v>
      </c>
      <c r="S35" s="3">
        <f>+SUM(S3:S34)</f>
        <v>2222.6000000000004</v>
      </c>
      <c r="T35" s="7">
        <f>+SUM(T3:T34)</f>
        <v>555.65000000000009</v>
      </c>
      <c r="U35" s="2"/>
      <c r="V35" s="3">
        <f>+SUM(V3:V34)</f>
        <v>3047.6</v>
      </c>
      <c r="W35" s="7">
        <f>+SUM(W3:W34)</f>
        <v>761.9</v>
      </c>
    </row>
    <row r="36" spans="1:23" x14ac:dyDescent="0.25">
      <c r="R36" s="3" t="s">
        <v>149</v>
      </c>
      <c r="S36" s="7">
        <f>+S35*0.25</f>
        <v>555.65000000000009</v>
      </c>
      <c r="T36" s="2"/>
      <c r="U36" s="2"/>
      <c r="V36" s="7">
        <f>+V35*0.25</f>
        <v>761.9</v>
      </c>
      <c r="W36" s="2"/>
    </row>
    <row r="38" spans="1:23" x14ac:dyDescent="0.25">
      <c r="A38" t="s">
        <v>82</v>
      </c>
      <c r="B38" s="9"/>
      <c r="C38" s="11" t="s">
        <v>118</v>
      </c>
      <c r="D38" t="s">
        <v>119</v>
      </c>
      <c r="E38" t="s">
        <v>120</v>
      </c>
      <c r="F38">
        <v>675275868</v>
      </c>
      <c r="G38" t="s">
        <v>121</v>
      </c>
      <c r="H38">
        <v>25.1</v>
      </c>
      <c r="I38" s="1" t="s">
        <v>122</v>
      </c>
      <c r="S38" s="4">
        <f t="shared" ref="S38:S47" si="6">+IF(H38&gt;S$1,H38-S$1,0)*2</f>
        <v>0</v>
      </c>
      <c r="T38" s="5">
        <f t="shared" ref="T38:T47" si="7">+S38*0.25</f>
        <v>0</v>
      </c>
      <c r="V38" s="4">
        <f t="shared" ref="V38:V47" si="8">+IF(H38&gt;V$1,H38-V$1,0)*2</f>
        <v>50.2</v>
      </c>
      <c r="W38" s="5">
        <f t="shared" ref="W38:W47" si="9">+V38*0.25</f>
        <v>12.55</v>
      </c>
    </row>
    <row r="39" spans="1:23" x14ac:dyDescent="0.25">
      <c r="A39" t="s">
        <v>82</v>
      </c>
      <c r="C39" s="11" t="s">
        <v>83</v>
      </c>
      <c r="D39" t="s">
        <v>84</v>
      </c>
      <c r="E39" t="s">
        <v>85</v>
      </c>
      <c r="F39">
        <v>635414083</v>
      </c>
      <c r="G39" t="s">
        <v>86</v>
      </c>
      <c r="H39">
        <v>21.9</v>
      </c>
      <c r="I39" s="1" t="s">
        <v>87</v>
      </c>
      <c r="S39" s="4">
        <f t="shared" si="6"/>
        <v>0</v>
      </c>
      <c r="T39" s="5">
        <f t="shared" si="7"/>
        <v>0</v>
      </c>
      <c r="V39" s="4">
        <f t="shared" si="8"/>
        <v>43.8</v>
      </c>
      <c r="W39" s="5">
        <f t="shared" si="9"/>
        <v>10.95</v>
      </c>
    </row>
    <row r="40" spans="1:23" x14ac:dyDescent="0.25">
      <c r="A40" t="s">
        <v>82</v>
      </c>
      <c r="C40" s="11" t="s">
        <v>88</v>
      </c>
      <c r="D40" t="s">
        <v>89</v>
      </c>
      <c r="E40" t="s">
        <v>90</v>
      </c>
      <c r="F40">
        <v>626032030</v>
      </c>
      <c r="G40" t="s">
        <v>91</v>
      </c>
      <c r="H40">
        <v>147.1</v>
      </c>
      <c r="I40" s="1" t="s">
        <v>92</v>
      </c>
      <c r="S40" s="4">
        <f t="shared" si="6"/>
        <v>194.2</v>
      </c>
      <c r="T40" s="5">
        <f t="shared" si="7"/>
        <v>48.55</v>
      </c>
      <c r="V40" s="4">
        <f t="shared" si="8"/>
        <v>294.2</v>
      </c>
      <c r="W40" s="5">
        <f t="shared" si="9"/>
        <v>73.55</v>
      </c>
    </row>
    <row r="41" spans="1:23" x14ac:dyDescent="0.25">
      <c r="A41" t="s">
        <v>82</v>
      </c>
      <c r="C41" s="11" t="s">
        <v>93</v>
      </c>
      <c r="D41" t="s">
        <v>94</v>
      </c>
      <c r="E41" t="s">
        <v>95</v>
      </c>
      <c r="F41">
        <v>652535447</v>
      </c>
      <c r="G41" t="s">
        <v>96</v>
      </c>
      <c r="H41">
        <v>34.200000000000003</v>
      </c>
      <c r="I41" s="1" t="s">
        <v>97</v>
      </c>
      <c r="S41" s="4">
        <f t="shared" si="6"/>
        <v>0</v>
      </c>
      <c r="T41" s="5">
        <f t="shared" si="7"/>
        <v>0</v>
      </c>
      <c r="V41" s="4">
        <f t="shared" si="8"/>
        <v>68.400000000000006</v>
      </c>
      <c r="W41" s="5">
        <f t="shared" si="9"/>
        <v>17.100000000000001</v>
      </c>
    </row>
    <row r="42" spans="1:23" x14ac:dyDescent="0.25">
      <c r="A42" t="s">
        <v>82</v>
      </c>
      <c r="C42" s="11" t="s">
        <v>99</v>
      </c>
      <c r="D42" t="s">
        <v>100</v>
      </c>
      <c r="E42" t="s">
        <v>101</v>
      </c>
      <c r="F42">
        <v>609038033</v>
      </c>
      <c r="G42" t="s">
        <v>102</v>
      </c>
      <c r="H42">
        <v>21.9</v>
      </c>
      <c r="I42" s="1" t="s">
        <v>87</v>
      </c>
      <c r="S42" s="4">
        <f t="shared" si="6"/>
        <v>0</v>
      </c>
      <c r="T42" s="5">
        <f t="shared" si="7"/>
        <v>0</v>
      </c>
      <c r="V42" s="4">
        <f t="shared" si="8"/>
        <v>43.8</v>
      </c>
      <c r="W42" s="5">
        <f t="shared" si="9"/>
        <v>10.95</v>
      </c>
    </row>
    <row r="43" spans="1:23" x14ac:dyDescent="0.25">
      <c r="A43" t="s">
        <v>82</v>
      </c>
      <c r="C43" s="11" t="s">
        <v>108</v>
      </c>
      <c r="D43" t="s">
        <v>109</v>
      </c>
      <c r="E43" t="s">
        <v>110</v>
      </c>
      <c r="F43">
        <v>630920517</v>
      </c>
      <c r="G43" t="s">
        <v>111</v>
      </c>
      <c r="H43">
        <v>142.1</v>
      </c>
      <c r="I43" s="1" t="s">
        <v>112</v>
      </c>
      <c r="S43" s="4">
        <f t="shared" si="6"/>
        <v>184.2</v>
      </c>
      <c r="T43" s="5">
        <f t="shared" si="7"/>
        <v>46.05</v>
      </c>
      <c r="V43" s="4">
        <f t="shared" si="8"/>
        <v>284.2</v>
      </c>
      <c r="W43" s="5">
        <f t="shared" si="9"/>
        <v>71.05</v>
      </c>
    </row>
    <row r="44" spans="1:23" x14ac:dyDescent="0.25">
      <c r="A44" t="s">
        <v>82</v>
      </c>
      <c r="C44" s="11" t="s">
        <v>123</v>
      </c>
      <c r="D44" t="s">
        <v>124</v>
      </c>
      <c r="E44" t="s">
        <v>125</v>
      </c>
      <c r="F44">
        <v>645290106</v>
      </c>
      <c r="G44" t="s">
        <v>121</v>
      </c>
      <c r="H44">
        <v>25.1</v>
      </c>
      <c r="I44" s="1" t="s">
        <v>122</v>
      </c>
      <c r="S44" s="4">
        <f t="shared" si="6"/>
        <v>0</v>
      </c>
      <c r="T44" s="5">
        <f t="shared" si="7"/>
        <v>0</v>
      </c>
      <c r="V44" s="4">
        <f t="shared" si="8"/>
        <v>50.2</v>
      </c>
      <c r="W44" s="5">
        <f t="shared" si="9"/>
        <v>12.55</v>
      </c>
    </row>
    <row r="45" spans="1:23" x14ac:dyDescent="0.25">
      <c r="A45" t="s">
        <v>82</v>
      </c>
      <c r="C45" s="13" t="s">
        <v>126</v>
      </c>
      <c r="D45" t="s">
        <v>127</v>
      </c>
      <c r="E45" t="s">
        <v>128</v>
      </c>
      <c r="F45">
        <v>656353567</v>
      </c>
      <c r="G45" t="s">
        <v>57</v>
      </c>
      <c r="H45">
        <v>0</v>
      </c>
      <c r="I45" s="1" t="s">
        <v>58</v>
      </c>
      <c r="S45" s="4">
        <f t="shared" si="6"/>
        <v>0</v>
      </c>
      <c r="T45" s="5">
        <f t="shared" si="7"/>
        <v>0</v>
      </c>
      <c r="V45" s="4">
        <f t="shared" si="8"/>
        <v>0</v>
      </c>
      <c r="W45" s="5">
        <f t="shared" si="9"/>
        <v>0</v>
      </c>
    </row>
    <row r="46" spans="1:23" x14ac:dyDescent="0.25">
      <c r="A46" t="s">
        <v>82</v>
      </c>
      <c r="C46" s="13" t="s">
        <v>129</v>
      </c>
      <c r="D46" t="s">
        <v>130</v>
      </c>
      <c r="E46" t="s">
        <v>131</v>
      </c>
      <c r="F46">
        <v>669141656</v>
      </c>
      <c r="G46" t="s">
        <v>132</v>
      </c>
      <c r="H46">
        <v>128.4</v>
      </c>
      <c r="I46" s="1" t="s">
        <v>133</v>
      </c>
      <c r="S46" s="4">
        <f t="shared" si="6"/>
        <v>156.80000000000001</v>
      </c>
      <c r="T46" s="5">
        <f t="shared" si="7"/>
        <v>39.200000000000003</v>
      </c>
      <c r="V46" s="4">
        <f t="shared" si="8"/>
        <v>256.8</v>
      </c>
      <c r="W46" s="5">
        <f t="shared" si="9"/>
        <v>64.2</v>
      </c>
    </row>
    <row r="47" spans="1:23" x14ac:dyDescent="0.25">
      <c r="A47" t="s">
        <v>82</v>
      </c>
      <c r="C47" s="11" t="s">
        <v>134</v>
      </c>
      <c r="D47" t="s">
        <v>135</v>
      </c>
      <c r="E47" t="s">
        <v>136</v>
      </c>
      <c r="F47">
        <v>658821488</v>
      </c>
      <c r="G47" t="s">
        <v>137</v>
      </c>
      <c r="H47">
        <v>108.9</v>
      </c>
      <c r="I47" s="1" t="s">
        <v>138</v>
      </c>
      <c r="S47" s="4">
        <f t="shared" si="6"/>
        <v>117.80000000000001</v>
      </c>
      <c r="T47" s="5">
        <f t="shared" si="7"/>
        <v>29.450000000000003</v>
      </c>
      <c r="V47" s="4">
        <f t="shared" si="8"/>
        <v>217.8</v>
      </c>
      <c r="W47" s="5">
        <f t="shared" si="9"/>
        <v>54.45</v>
      </c>
    </row>
    <row r="48" spans="1:23" s="13" customFormat="1" x14ac:dyDescent="0.25">
      <c r="A48" s="13" t="s">
        <v>82</v>
      </c>
      <c r="C48" s="11" t="s">
        <v>83</v>
      </c>
      <c r="D48" s="13" t="s">
        <v>84</v>
      </c>
      <c r="E48" s="13" t="s">
        <v>85</v>
      </c>
      <c r="F48" s="13">
        <v>635414083</v>
      </c>
      <c r="G48" s="13" t="s">
        <v>86</v>
      </c>
      <c r="H48">
        <v>21.9</v>
      </c>
      <c r="I48" s="1" t="s">
        <v>87</v>
      </c>
    </row>
    <row r="49" spans="1:9" s="13" customFormat="1" x14ac:dyDescent="0.25">
      <c r="A49" s="13" t="s">
        <v>82</v>
      </c>
      <c r="C49" s="11" t="s">
        <v>88</v>
      </c>
      <c r="D49" s="13" t="s">
        <v>89</v>
      </c>
      <c r="E49" s="13" t="s">
        <v>90</v>
      </c>
      <c r="F49" s="13">
        <v>626032030</v>
      </c>
      <c r="G49" s="13" t="s">
        <v>91</v>
      </c>
      <c r="H49">
        <v>147.1</v>
      </c>
      <c r="I49" s="1" t="s">
        <v>92</v>
      </c>
    </row>
    <row r="50" spans="1:9" s="13" customFormat="1" x14ac:dyDescent="0.25">
      <c r="A50" s="13" t="s">
        <v>82</v>
      </c>
      <c r="C50" s="11" t="s">
        <v>93</v>
      </c>
      <c r="D50" s="13" t="s">
        <v>94</v>
      </c>
      <c r="E50" s="13" t="s">
        <v>95</v>
      </c>
      <c r="F50" s="13">
        <v>652535447</v>
      </c>
      <c r="G50" s="13" t="s">
        <v>158</v>
      </c>
      <c r="H50">
        <v>34.200000000000003</v>
      </c>
      <c r="I50" s="1" t="s">
        <v>97</v>
      </c>
    </row>
    <row r="51" spans="1:9" s="13" customFormat="1" x14ac:dyDescent="0.25">
      <c r="A51" s="13" t="s">
        <v>82</v>
      </c>
      <c r="C51" s="11" t="s">
        <v>99</v>
      </c>
      <c r="D51" s="13" t="s">
        <v>100</v>
      </c>
      <c r="E51" s="13" t="s">
        <v>101</v>
      </c>
      <c r="F51" s="13">
        <v>609038033</v>
      </c>
      <c r="G51" s="13" t="s">
        <v>102</v>
      </c>
      <c r="H51">
        <v>21.9</v>
      </c>
      <c r="I51" s="1" t="s">
        <v>87</v>
      </c>
    </row>
    <row r="52" spans="1:9" s="13" customFormat="1" x14ac:dyDescent="0.25">
      <c r="A52" s="13" t="s">
        <v>82</v>
      </c>
      <c r="C52" s="11" t="s">
        <v>150</v>
      </c>
      <c r="D52" s="13" t="s">
        <v>109</v>
      </c>
      <c r="E52" s="13" t="s">
        <v>110</v>
      </c>
      <c r="F52" s="13">
        <v>630920517</v>
      </c>
      <c r="G52" s="13" t="s">
        <v>111</v>
      </c>
      <c r="H52">
        <v>142.1</v>
      </c>
      <c r="I52" s="1" t="s">
        <v>112</v>
      </c>
    </row>
    <row r="53" spans="1:9" s="13" customFormat="1" x14ac:dyDescent="0.25">
      <c r="A53" s="13" t="s">
        <v>82</v>
      </c>
      <c r="C53" s="11" t="s">
        <v>113</v>
      </c>
      <c r="D53" s="13" t="s">
        <v>114</v>
      </c>
      <c r="E53" s="13" t="s">
        <v>161</v>
      </c>
      <c r="F53" s="13">
        <v>649165093</v>
      </c>
      <c r="G53" s="13" t="s">
        <v>159</v>
      </c>
    </row>
    <row r="54" spans="1:9" s="13" customFormat="1" x14ac:dyDescent="0.25">
      <c r="A54" s="13" t="s">
        <v>82</v>
      </c>
      <c r="C54" s="11" t="s">
        <v>118</v>
      </c>
      <c r="D54" s="13" t="s">
        <v>119</v>
      </c>
      <c r="E54" s="13" t="s">
        <v>120</v>
      </c>
      <c r="F54" s="13">
        <v>675275868</v>
      </c>
      <c r="G54" s="13" t="s">
        <v>121</v>
      </c>
      <c r="H54">
        <v>25.1</v>
      </c>
      <c r="I54" s="1" t="s">
        <v>122</v>
      </c>
    </row>
    <row r="55" spans="1:9" s="13" customFormat="1" x14ac:dyDescent="0.25">
      <c r="A55" s="13" t="s">
        <v>82</v>
      </c>
      <c r="C55" s="11" t="s">
        <v>123</v>
      </c>
      <c r="D55" s="13" t="s">
        <v>124</v>
      </c>
      <c r="E55" s="13" t="s">
        <v>125</v>
      </c>
      <c r="F55" s="13">
        <v>645290106</v>
      </c>
      <c r="G55" t="s">
        <v>121</v>
      </c>
      <c r="H55">
        <v>25.1</v>
      </c>
      <c r="I55" s="1" t="s">
        <v>122</v>
      </c>
    </row>
    <row r="56" spans="1:9" s="13" customFormat="1" x14ac:dyDescent="0.25">
      <c r="A56" s="13" t="s">
        <v>82</v>
      </c>
      <c r="C56" s="11" t="s">
        <v>151</v>
      </c>
      <c r="D56" s="13" t="s">
        <v>127</v>
      </c>
      <c r="E56" s="13" t="s">
        <v>128</v>
      </c>
      <c r="F56" s="13">
        <v>656353567</v>
      </c>
      <c r="G56" s="13" t="s">
        <v>179</v>
      </c>
    </row>
    <row r="57" spans="1:9" s="13" customFormat="1" x14ac:dyDescent="0.25">
      <c r="A57" s="13" t="s">
        <v>82</v>
      </c>
      <c r="C57" s="14" t="s">
        <v>152</v>
      </c>
      <c r="D57" s="13" t="s">
        <v>130</v>
      </c>
      <c r="E57" s="13" t="s">
        <v>131</v>
      </c>
      <c r="F57" s="13">
        <v>669141656</v>
      </c>
      <c r="G57" s="13" t="s">
        <v>132</v>
      </c>
      <c r="H57">
        <v>128.4</v>
      </c>
      <c r="I57" s="1" t="s">
        <v>133</v>
      </c>
    </row>
    <row r="58" spans="1:9" s="13" customFormat="1" x14ac:dyDescent="0.25">
      <c r="A58" s="13" t="s">
        <v>82</v>
      </c>
      <c r="C58" s="13" t="s">
        <v>134</v>
      </c>
      <c r="D58" s="13" t="s">
        <v>135</v>
      </c>
      <c r="E58" s="13" t="s">
        <v>136</v>
      </c>
      <c r="F58" s="13">
        <v>658821488</v>
      </c>
      <c r="G58" s="13" t="s">
        <v>137</v>
      </c>
      <c r="H58">
        <v>108.9</v>
      </c>
      <c r="I58" s="1" t="s">
        <v>138</v>
      </c>
    </row>
    <row r="59" spans="1:9" x14ac:dyDescent="0.25">
      <c r="A59" t="s">
        <v>82</v>
      </c>
      <c r="C59" s="14" t="s">
        <v>153</v>
      </c>
      <c r="G59" s="13" t="s">
        <v>57</v>
      </c>
      <c r="H59">
        <v>0</v>
      </c>
    </row>
    <row r="60" spans="1:9" x14ac:dyDescent="0.25">
      <c r="A60" t="s">
        <v>82</v>
      </c>
      <c r="C60" s="14" t="s">
        <v>154</v>
      </c>
    </row>
    <row r="61" spans="1:9" x14ac:dyDescent="0.25">
      <c r="A61" t="s">
        <v>82</v>
      </c>
      <c r="C61" t="s">
        <v>155</v>
      </c>
    </row>
    <row r="62" spans="1:9" x14ac:dyDescent="0.25">
      <c r="A62" t="s">
        <v>82</v>
      </c>
      <c r="C62" s="11" t="s">
        <v>156</v>
      </c>
      <c r="E62" t="s">
        <v>162</v>
      </c>
      <c r="F62" t="s">
        <v>157</v>
      </c>
      <c r="G62" t="s">
        <v>160</v>
      </c>
    </row>
  </sheetData>
  <hyperlinks>
    <hyperlink ref="I39" r:id="rId1" xr:uid="{63F0AE5C-1F2F-4789-B007-B072B7AA20D3}"/>
    <hyperlink ref="I40" r:id="rId2" xr:uid="{856E1BE3-3184-4AE4-91A4-5FB2088DC0D5}"/>
    <hyperlink ref="I41" r:id="rId3" xr:uid="{1EB406C2-F159-4E1B-B5D5-65770424C6CC}"/>
    <hyperlink ref="I42" r:id="rId4" xr:uid="{B0BC1EB9-9E50-40D5-8309-C7BA20A07216}"/>
    <hyperlink ref="I43" r:id="rId5" xr:uid="{8D9998F1-AA6B-41C5-920E-E58EB216E35B}"/>
    <hyperlink ref="I38" r:id="rId6" xr:uid="{5E78EA99-5E31-4285-864D-057ADADD0085}"/>
    <hyperlink ref="I44" r:id="rId7" xr:uid="{22F30687-33CC-4DAA-BDDB-5B62B3C3EF9A}"/>
    <hyperlink ref="I45" r:id="rId8" xr:uid="{B2060D82-53E5-4C30-854A-A2CAD5688292}"/>
    <hyperlink ref="I46" r:id="rId9" xr:uid="{4DB19DFC-757B-4811-9E2A-096836B2984D}"/>
    <hyperlink ref="I47" r:id="rId10" xr:uid="{CAE017C1-C065-4B21-905D-94081706216D}"/>
    <hyperlink ref="E62" r:id="rId11" display="mailto:lourdesdb73@gmail.com" xr:uid="{88E5BF6C-1BC4-412B-BD88-17478CC20C68}"/>
    <hyperlink ref="E19" r:id="rId12" display="mailto:lourdesdb73@gmail.com" xr:uid="{7864989A-9A13-4FA5-A0BB-4CBF2AFD1710}"/>
    <hyperlink ref="I48" r:id="rId13" xr:uid="{276DC4F7-C3F3-4F54-9816-C7624B7275F0}"/>
    <hyperlink ref="I49" r:id="rId14" xr:uid="{07173E73-392F-43B4-AC5B-CC01032A7E65}"/>
    <hyperlink ref="I50" r:id="rId15" xr:uid="{203F4716-9E11-46F2-9D9C-2B20833C26DD}"/>
    <hyperlink ref="I51" r:id="rId16" xr:uid="{9E3F8118-20AD-408C-A90C-416D53B118D4}"/>
    <hyperlink ref="I52" r:id="rId17" xr:uid="{9898386A-01E9-48B3-8A51-C97E2643EA40}"/>
    <hyperlink ref="I55" r:id="rId18" xr:uid="{6131065A-C89E-4A8E-AC60-611EF00CE2BA}"/>
    <hyperlink ref="I18" r:id="rId19" xr:uid="{56380BA9-F4DA-40E4-BA52-AE8CE833280D}"/>
    <hyperlink ref="I20" r:id="rId20" xr:uid="{046CCA0E-17C4-424E-B8C2-B6287D45F94E}"/>
    <hyperlink ref="I21" r:id="rId21" xr:uid="{7E9925E4-11DE-4FC6-A7C5-481B1158F6C0}"/>
    <hyperlink ref="I22" r:id="rId22" xr:uid="{501E8F23-6DA8-4E06-8DB8-B560503C14DC}"/>
    <hyperlink ref="I54" r:id="rId23" xr:uid="{04A3233F-4390-4174-A1B5-1A6E1DF4032C}"/>
    <hyperlink ref="I28" r:id="rId24" xr:uid="{C831EA7F-A07B-4A19-922A-6E9A61794884}"/>
    <hyperlink ref="I29" r:id="rId25" xr:uid="{2FA534AA-9871-47A0-8CCA-4D1044230395}"/>
    <hyperlink ref="I58" r:id="rId26" xr:uid="{50043CAD-3C40-41EB-930D-2140326A6965}"/>
    <hyperlink ref="I57" r:id="rId27" xr:uid="{7F300CB0-E2D4-4DB8-92B9-DBEA7EFDDA29}"/>
    <hyperlink ref="I25" r:id="rId28" xr:uid="{D0F6FF4A-CDBC-4DB7-B57D-6D9C3AEEDE21}"/>
    <hyperlink ref="I32" r:id="rId29" xr:uid="{3A4CA0D2-DCD7-432C-B2AC-0D1D6865C3B3}"/>
    <hyperlink ref="I34" r:id="rId30" xr:uid="{D43F1124-6520-4A82-A144-141CBB818BF5}"/>
    <hyperlink ref="I3" r:id="rId31" xr:uid="{BB1B59C9-917D-429B-AAB6-1DC0D128641A}"/>
    <hyperlink ref="I4" r:id="rId32" xr:uid="{F3741BB1-52F7-4C39-B4E3-877D2FB037B4}"/>
    <hyperlink ref="I5" r:id="rId33" xr:uid="{D299C51D-30E4-4226-9BF5-BA158915298F}"/>
    <hyperlink ref="I6" r:id="rId34" xr:uid="{44B39559-0A43-4492-A5A1-FE113EC0583D}"/>
    <hyperlink ref="I7" r:id="rId35" xr:uid="{646D7B4D-4964-4DA2-BAA0-C1D7CB144A0B}"/>
    <hyperlink ref="I8" r:id="rId36" xr:uid="{85B26649-60B0-456E-A590-C867A549E270}"/>
    <hyperlink ref="I9" r:id="rId37" xr:uid="{AB37BBEE-4609-4FF8-BC69-724E7E4CC34A}"/>
    <hyperlink ref="I10" r:id="rId38" xr:uid="{8EBD2F95-19A6-4AAC-B49A-9B4415F0E618}"/>
    <hyperlink ref="I11" r:id="rId39" xr:uid="{5C05001E-F2EF-4839-A201-2D8132AF2262}"/>
    <hyperlink ref="I12" r:id="rId40" xr:uid="{B313EEF3-8620-47D2-B793-BB8DA2FFF9D7}"/>
    <hyperlink ref="I13" r:id="rId41" xr:uid="{79C4108C-D726-4B47-9966-EBF9C0B1F957}"/>
    <hyperlink ref="I14" r:id="rId42" xr:uid="{440CBE33-C80A-4F08-84E8-83042F43588B}"/>
    <hyperlink ref="I16" r:id="rId43" xr:uid="{9C0949F8-1A4F-44D4-B554-FEEC01CB08FB}"/>
  </hyperlinks>
  <pageMargins left="0.7" right="0.7" top="0.75" bottom="0.75" header="0.3" footer="0.3"/>
  <pageSetup paperSize="187" orientation="landscape" horizontalDpi="1200" verticalDpi="1200" r:id="rId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4DD3-D533-46EB-BB3A-E63DDB3523B0}">
  <dimension ref="A1:W53"/>
  <sheetViews>
    <sheetView workbookViewId="0">
      <selection activeCell="A33" sqref="A33:XFD47"/>
    </sheetView>
  </sheetViews>
  <sheetFormatPr defaultColWidth="24.85546875" defaultRowHeight="15" x14ac:dyDescent="0.25"/>
  <sheetData>
    <row r="1" spans="2:3" ht="15.75" thickBot="1" x14ac:dyDescent="0.3">
      <c r="B1" s="10" t="s">
        <v>83</v>
      </c>
      <c r="C1" s="10" t="s">
        <v>83</v>
      </c>
    </row>
    <row r="2" spans="2:3" ht="15.75" thickBot="1" x14ac:dyDescent="0.3">
      <c r="B2" s="10" t="s">
        <v>88</v>
      </c>
      <c r="C2" s="10" t="s">
        <v>180</v>
      </c>
    </row>
    <row r="3" spans="2:3" ht="15.75" thickBot="1" x14ac:dyDescent="0.3">
      <c r="B3" s="10" t="s">
        <v>93</v>
      </c>
      <c r="C3" s="10" t="s">
        <v>93</v>
      </c>
    </row>
    <row r="4" spans="2:3" ht="15.75" thickBot="1" x14ac:dyDescent="0.3">
      <c r="B4" s="10" t="s">
        <v>181</v>
      </c>
      <c r="C4" s="10" t="s">
        <v>98</v>
      </c>
    </row>
    <row r="5" spans="2:3" ht="15.75" thickBot="1" x14ac:dyDescent="0.3">
      <c r="B5" s="10" t="s">
        <v>99</v>
      </c>
      <c r="C5" s="10" t="s">
        <v>99</v>
      </c>
    </row>
    <row r="6" spans="2:3" ht="15.75" thickBot="1" x14ac:dyDescent="0.3">
      <c r="B6" s="10" t="s">
        <v>150</v>
      </c>
      <c r="C6" s="10" t="s">
        <v>108</v>
      </c>
    </row>
    <row r="7" spans="2:3" ht="15.75" thickBot="1" x14ac:dyDescent="0.3"/>
    <row r="8" spans="2:3" ht="15.75" thickBot="1" x14ac:dyDescent="0.3">
      <c r="B8" s="17" t="s">
        <v>182</v>
      </c>
      <c r="C8" s="15" t="s">
        <v>103</v>
      </c>
    </row>
    <row r="9" spans="2:3" ht="15.75" thickBot="1" x14ac:dyDescent="0.3">
      <c r="B9" s="18" t="s">
        <v>113</v>
      </c>
      <c r="C9" s="18" t="s">
        <v>113</v>
      </c>
    </row>
    <row r="10" spans="2:3" ht="15.75" thickBot="1" x14ac:dyDescent="0.3">
      <c r="B10" s="10" t="s">
        <v>118</v>
      </c>
      <c r="C10" s="10" t="s">
        <v>118</v>
      </c>
    </row>
    <row r="11" spans="2:3" ht="15.75" thickBot="1" x14ac:dyDescent="0.3">
      <c r="B11" s="10" t="s">
        <v>123</v>
      </c>
      <c r="C11" s="10" t="s">
        <v>123</v>
      </c>
    </row>
    <row r="12" spans="2:3" ht="27" thickBot="1" x14ac:dyDescent="0.3">
      <c r="B12" s="10" t="s">
        <v>151</v>
      </c>
      <c r="C12" s="10" t="s">
        <v>126</v>
      </c>
    </row>
    <row r="13" spans="2:3" ht="15.75" thickBot="1" x14ac:dyDescent="0.3">
      <c r="B13" s="10" t="s">
        <v>152</v>
      </c>
      <c r="C13" s="10" t="s">
        <v>129</v>
      </c>
    </row>
    <row r="14" spans="2:3" ht="15.75" thickBot="1" x14ac:dyDescent="0.3">
      <c r="B14" s="10" t="s">
        <v>183</v>
      </c>
      <c r="C14" s="10" t="s">
        <v>134</v>
      </c>
    </row>
    <row r="15" spans="2:3" ht="15.75" thickBot="1" x14ac:dyDescent="0.3">
      <c r="B15" s="8" t="s">
        <v>184</v>
      </c>
      <c r="C15" s="8" t="s">
        <v>139</v>
      </c>
    </row>
    <row r="16" spans="2:3" ht="15.75" thickBot="1" x14ac:dyDescent="0.3">
      <c r="B16" s="10" t="s">
        <v>185</v>
      </c>
      <c r="C16" s="10" t="s">
        <v>9</v>
      </c>
    </row>
    <row r="17" spans="2:3" ht="15.75" thickBot="1" x14ac:dyDescent="0.3">
      <c r="B17" s="10" t="s">
        <v>14</v>
      </c>
      <c r="C17" s="10" t="s">
        <v>14</v>
      </c>
    </row>
    <row r="18" spans="2:3" ht="27" thickBot="1" x14ac:dyDescent="0.3">
      <c r="B18" s="10" t="s">
        <v>186</v>
      </c>
      <c r="C18" s="10" t="s">
        <v>19</v>
      </c>
    </row>
    <row r="19" spans="2:3" ht="15.75" thickBot="1" x14ac:dyDescent="0.3">
      <c r="B19" s="10" t="s">
        <v>187</v>
      </c>
      <c r="C19" s="10" t="s">
        <v>24</v>
      </c>
    </row>
    <row r="20" spans="2:3" ht="15.75" thickBot="1" x14ac:dyDescent="0.3">
      <c r="B20" s="10" t="s">
        <v>188</v>
      </c>
      <c r="C20" s="10" t="s">
        <v>29</v>
      </c>
    </row>
    <row r="21" spans="2:3" ht="27" thickBot="1" x14ac:dyDescent="0.3">
      <c r="B21" s="10" t="s">
        <v>189</v>
      </c>
      <c r="C21" s="10" t="s">
        <v>34</v>
      </c>
    </row>
    <row r="22" spans="2:3" ht="15.75" thickBot="1" x14ac:dyDescent="0.3">
      <c r="B22" s="10" t="s">
        <v>190</v>
      </c>
      <c r="C22" s="10" t="s">
        <v>39</v>
      </c>
    </row>
    <row r="23" spans="2:3" ht="15.75" thickBot="1" x14ac:dyDescent="0.3">
      <c r="B23" s="10" t="s">
        <v>191</v>
      </c>
      <c r="C23" s="10" t="s">
        <v>44</v>
      </c>
    </row>
    <row r="24" spans="2:3" ht="15.75" thickBot="1" x14ac:dyDescent="0.3">
      <c r="B24" s="10" t="s">
        <v>192</v>
      </c>
      <c r="C24" s="10" t="s">
        <v>49</v>
      </c>
    </row>
    <row r="25" spans="2:3" ht="15.75" thickBot="1" x14ac:dyDescent="0.3">
      <c r="B25" s="10" t="s">
        <v>193</v>
      </c>
      <c r="C25" s="10" t="s">
        <v>54</v>
      </c>
    </row>
    <row r="26" spans="2:3" ht="15.75" thickBot="1" x14ac:dyDescent="0.3">
      <c r="B26" s="10" t="s">
        <v>194</v>
      </c>
      <c r="C26" s="10" t="s">
        <v>59</v>
      </c>
    </row>
    <row r="27" spans="2:3" ht="15.75" thickBot="1" x14ac:dyDescent="0.3">
      <c r="B27" s="10" t="s">
        <v>195</v>
      </c>
      <c r="C27" s="10" t="s">
        <v>64</v>
      </c>
    </row>
    <row r="28" spans="2:3" ht="15.75" thickBot="1" x14ac:dyDescent="0.3">
      <c r="B28" s="10" t="s">
        <v>196</v>
      </c>
      <c r="C28" s="10" t="s">
        <v>69</v>
      </c>
    </row>
    <row r="29" spans="2:3" ht="15.75" thickBot="1" x14ac:dyDescent="0.3">
      <c r="B29" s="10" t="s">
        <v>74</v>
      </c>
      <c r="C29" s="10" t="s">
        <v>74</v>
      </c>
    </row>
    <row r="30" spans="2:3" ht="15.75" thickBot="1" x14ac:dyDescent="0.3">
      <c r="B30" s="10" t="s">
        <v>197</v>
      </c>
      <c r="C30" s="10" t="s">
        <v>79</v>
      </c>
    </row>
    <row r="48" spans="1:23" x14ac:dyDescent="0.25">
      <c r="A48" t="s">
        <v>8</v>
      </c>
      <c r="B48" s="9" t="s">
        <v>194</v>
      </c>
      <c r="C48" t="s">
        <v>59</v>
      </c>
      <c r="D48" t="s">
        <v>60</v>
      </c>
      <c r="E48" t="s">
        <v>61</v>
      </c>
      <c r="F48">
        <v>633196567</v>
      </c>
      <c r="G48" t="s">
        <v>62</v>
      </c>
      <c r="H48">
        <v>41.2</v>
      </c>
      <c r="I48" s="1" t="s">
        <v>63</v>
      </c>
      <c r="S48" s="4">
        <f>+IF(H48&gt;S$1,H48-S$1,0)*2</f>
        <v>82.4</v>
      </c>
      <c r="T48" s="5">
        <f>+S48*0.25</f>
        <v>20.6</v>
      </c>
      <c r="V48" s="4">
        <f>+IF(H48&gt;V$1,H48-V$1,0)*2</f>
        <v>82.4</v>
      </c>
      <c r="W48" s="5">
        <f>+V48*0.25</f>
        <v>20.6</v>
      </c>
    </row>
    <row r="49" spans="1:23" x14ac:dyDescent="0.25">
      <c r="A49" t="s">
        <v>8</v>
      </c>
      <c r="B49" s="9" t="s">
        <v>192</v>
      </c>
      <c r="C49" t="s">
        <v>49</v>
      </c>
      <c r="D49" t="s">
        <v>50</v>
      </c>
      <c r="E49" t="s">
        <v>51</v>
      </c>
      <c r="F49">
        <v>617084848</v>
      </c>
      <c r="G49" t="s">
        <v>52</v>
      </c>
      <c r="H49">
        <v>159.6</v>
      </c>
      <c r="I49" s="1" t="s">
        <v>53</v>
      </c>
      <c r="S49" s="4">
        <f>+IF(H49&gt;S$1,H49-S$1,0)*2</f>
        <v>319.2</v>
      </c>
      <c r="T49" s="5">
        <f>+S49*0.25</f>
        <v>79.8</v>
      </c>
      <c r="V49" s="4">
        <f>+IF(H49&gt;V$1,H49-V$1,0)*2</f>
        <v>319.2</v>
      </c>
      <c r="W49" s="5">
        <f>+V49*0.25</f>
        <v>79.8</v>
      </c>
    </row>
    <row r="50" spans="1:23" x14ac:dyDescent="0.25">
      <c r="A50" t="s">
        <v>8</v>
      </c>
      <c r="B50" s="9" t="s">
        <v>190</v>
      </c>
      <c r="C50" t="s">
        <v>39</v>
      </c>
      <c r="D50" t="s">
        <v>40</v>
      </c>
      <c r="E50" t="s">
        <v>41</v>
      </c>
      <c r="F50">
        <v>630626707</v>
      </c>
      <c r="G50" t="s">
        <v>42</v>
      </c>
      <c r="H50">
        <v>60.1</v>
      </c>
      <c r="I50" s="1" t="s">
        <v>43</v>
      </c>
      <c r="S50" s="4">
        <f>+IF(H50&gt;S$1,H50-S$1,0)*2</f>
        <v>120.2</v>
      </c>
      <c r="T50" s="5">
        <f>+S50*0.25</f>
        <v>30.05</v>
      </c>
      <c r="V50" s="4">
        <f>+IF(H50&gt;V$1,H50-V$1,0)*2</f>
        <v>120.2</v>
      </c>
      <c r="W50" s="5">
        <f>+V50*0.25</f>
        <v>30.05</v>
      </c>
    </row>
    <row r="51" spans="1:23" x14ac:dyDescent="0.25">
      <c r="A51" t="s">
        <v>8</v>
      </c>
      <c r="B51" s="16" t="s">
        <v>182</v>
      </c>
      <c r="C51" s="11" t="s">
        <v>103</v>
      </c>
      <c r="D51" t="s">
        <v>104</v>
      </c>
      <c r="E51" t="s">
        <v>105</v>
      </c>
      <c r="F51">
        <v>600035355</v>
      </c>
      <c r="G51" t="s">
        <v>106</v>
      </c>
      <c r="H51">
        <v>119.7</v>
      </c>
      <c r="I51" s="1" t="s">
        <v>107</v>
      </c>
      <c r="S51" s="4">
        <f>+IF(H51&gt;S$1,H51-S$1,0)*2</f>
        <v>239.4</v>
      </c>
      <c r="T51" s="5">
        <f>+S51*0.25</f>
        <v>59.85</v>
      </c>
      <c r="V51" s="4">
        <f>+IF(H51&gt;V$1,H51-V$1,0)*2</f>
        <v>239.4</v>
      </c>
      <c r="W51" s="5">
        <f>+V51*0.25</f>
        <v>59.85</v>
      </c>
    </row>
    <row r="52" spans="1:23" x14ac:dyDescent="0.25">
      <c r="A52" t="s">
        <v>8</v>
      </c>
      <c r="B52" s="16" t="s">
        <v>113</v>
      </c>
      <c r="C52" s="11" t="s">
        <v>113</v>
      </c>
      <c r="D52" t="s">
        <v>114</v>
      </c>
      <c r="E52" t="s">
        <v>115</v>
      </c>
      <c r="F52">
        <v>649165093</v>
      </c>
      <c r="G52" t="s">
        <v>116</v>
      </c>
      <c r="H52">
        <v>126.8</v>
      </c>
      <c r="I52" s="1" t="s">
        <v>117</v>
      </c>
      <c r="S52" s="4">
        <f>+IF(H52&gt;S$1,H52-S$1,0)*2</f>
        <v>253.6</v>
      </c>
      <c r="T52" s="5">
        <f>+S52*0.25</f>
        <v>63.4</v>
      </c>
      <c r="V52" s="4">
        <f>+IF(H52&gt;V$1,H52-V$1,0)*2</f>
        <v>253.6</v>
      </c>
      <c r="W52" s="5">
        <f>+V52*0.25</f>
        <v>63.4</v>
      </c>
    </row>
    <row r="53" spans="1:23" x14ac:dyDescent="0.25">
      <c r="A53" t="s">
        <v>8</v>
      </c>
      <c r="B53" s="9" t="s">
        <v>184</v>
      </c>
      <c r="C53" s="13" t="s">
        <v>139</v>
      </c>
      <c r="D53" t="s">
        <v>140</v>
      </c>
      <c r="E53" t="s">
        <v>141</v>
      </c>
      <c r="F53">
        <v>662425617</v>
      </c>
      <c r="G53" t="s">
        <v>142</v>
      </c>
      <c r="H53">
        <v>3.8</v>
      </c>
      <c r="I53" s="1" t="s">
        <v>143</v>
      </c>
      <c r="S53" s="6">
        <f>+IF(H53&gt;S$1,H53-S$1,0)*2</f>
        <v>7.6</v>
      </c>
      <c r="T53" s="5">
        <f>+S53*0.25</f>
        <v>1.9</v>
      </c>
      <c r="V53" s="4">
        <f>+IF(H53&gt;V$1,H53-V$1,0)*2</f>
        <v>7.6</v>
      </c>
      <c r="W53" s="5">
        <f>+V53*0.25</f>
        <v>1.9</v>
      </c>
    </row>
  </sheetData>
  <hyperlinks>
    <hyperlink ref="I50" r:id="rId1" xr:uid="{7F0B7CEC-4DF3-40A7-BA24-0CE299ABC1E8}"/>
    <hyperlink ref="I49" r:id="rId2" xr:uid="{24A1559B-3A8A-4FE6-9536-CEB4CACEBADC}"/>
    <hyperlink ref="I48" r:id="rId3" xr:uid="{74FB8D1B-DB1A-46B1-9785-9D9F2FB8BCBB}"/>
    <hyperlink ref="I52" r:id="rId4" xr:uid="{CF670472-8192-42B5-867A-4E3BFD192E69}"/>
    <hyperlink ref="I53" r:id="rId5" xr:uid="{91F2D270-3DB6-4DBC-B0CF-43CB89188A82}"/>
    <hyperlink ref="I51" r:id="rId6" xr:uid="{B89259B9-34A7-481E-ADA9-428A8BD530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logistica_participants</vt:lpstr>
      <vt:lpstr>Full1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Pararols Serra</dc:creator>
  <cp:lastModifiedBy>Albert Pararols Serra</cp:lastModifiedBy>
  <dcterms:created xsi:type="dcterms:W3CDTF">2026-08-13T11:26:19Z</dcterms:created>
  <dcterms:modified xsi:type="dcterms:W3CDTF">2026-08-18T12:18:04Z</dcterms:modified>
</cp:coreProperties>
</file>